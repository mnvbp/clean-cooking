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vparikh/manav-workspace/clean_cooking/"/>
    </mc:Choice>
  </mc:AlternateContent>
  <xr:revisionPtr revIDLastSave="0" documentId="13_ncr:1_{6A553249-DB80-BE4E-8016-255E96A16653}" xr6:coauthVersionLast="47" xr6:coauthVersionMax="47" xr10:uidLastSave="{00000000-0000-0000-0000-000000000000}"/>
  <bookViews>
    <workbookView xWindow="0" yWindow="500" windowWidth="26680" windowHeight="15840" xr2:uid="{AAA93A8F-D2C0-4D41-836F-EBD10564FDAC}"/>
  </bookViews>
  <sheets>
    <sheet name="Tabulation" sheetId="1" r:id="rId1"/>
    <sheet name="Regression" sheetId="2" r:id="rId2"/>
    <sheet name="Regression 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7" i="1" l="1"/>
  <c r="G127" i="1"/>
  <c r="C127" i="1"/>
  <c r="G101" i="1"/>
  <c r="E101" i="1"/>
  <c r="C101" i="1"/>
  <c r="G51" i="1"/>
  <c r="E51" i="1"/>
  <c r="C51" i="1"/>
  <c r="E25" i="1"/>
  <c r="G73" i="1"/>
  <c r="E73" i="1"/>
  <c r="C73" i="1"/>
  <c r="H50" i="2"/>
  <c r="H51" i="2"/>
  <c r="H52" i="2"/>
  <c r="H53" i="2"/>
  <c r="H54" i="2"/>
  <c r="H55" i="2"/>
  <c r="H56" i="2"/>
  <c r="H57" i="2"/>
  <c r="H58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2" i="2"/>
  <c r="G56" i="2"/>
  <c r="G57" i="2"/>
  <c r="G41" i="2"/>
  <c r="G43" i="2"/>
  <c r="G46" i="2"/>
  <c r="G17" i="2"/>
  <c r="G18" i="2"/>
  <c r="G19" i="2"/>
  <c r="F51" i="2"/>
  <c r="F52" i="2"/>
  <c r="F53" i="2"/>
  <c r="F54" i="2"/>
  <c r="F55" i="2"/>
  <c r="F56" i="2"/>
  <c r="F57" i="2"/>
  <c r="F58" i="2"/>
  <c r="F50" i="2"/>
  <c r="F39" i="2"/>
  <c r="F40" i="2"/>
  <c r="F41" i="2"/>
  <c r="F42" i="2"/>
  <c r="F43" i="2"/>
  <c r="F44" i="2"/>
  <c r="F45" i="2"/>
  <c r="F46" i="2"/>
  <c r="F38" i="2"/>
  <c r="F28" i="2"/>
  <c r="F29" i="2"/>
  <c r="F30" i="2"/>
  <c r="F31" i="2"/>
  <c r="F32" i="2"/>
  <c r="F33" i="2"/>
  <c r="F34" i="2"/>
  <c r="F27" i="2"/>
  <c r="F15" i="2"/>
  <c r="F16" i="2"/>
  <c r="G16" i="2" s="1"/>
  <c r="F17" i="2"/>
  <c r="F18" i="2"/>
  <c r="F19" i="2"/>
  <c r="F20" i="2"/>
  <c r="F21" i="2"/>
  <c r="F22" i="2"/>
  <c r="F14" i="2"/>
  <c r="E37" i="2"/>
  <c r="E38" i="2"/>
  <c r="G38" i="2" s="1"/>
  <c r="E39" i="2"/>
  <c r="G39" i="2" s="1"/>
  <c r="E40" i="2"/>
  <c r="G40" i="2" s="1"/>
  <c r="E41" i="2"/>
  <c r="E42" i="2"/>
  <c r="G42" i="2" s="1"/>
  <c r="E43" i="2"/>
  <c r="E44" i="2"/>
  <c r="G44" i="2" s="1"/>
  <c r="E45" i="2"/>
  <c r="G45" i="2" s="1"/>
  <c r="E46" i="2"/>
  <c r="E47" i="2"/>
  <c r="E48" i="2"/>
  <c r="E49" i="2"/>
  <c r="E50" i="2"/>
  <c r="G50" i="2" s="1"/>
  <c r="E51" i="2"/>
  <c r="G51" i="2" s="1"/>
  <c r="E52" i="2"/>
  <c r="G52" i="2" s="1"/>
  <c r="E53" i="2"/>
  <c r="G53" i="2" s="1"/>
  <c r="E54" i="2"/>
  <c r="G54" i="2" s="1"/>
  <c r="E55" i="2"/>
  <c r="G55" i="2" s="1"/>
  <c r="E56" i="2"/>
  <c r="E57" i="2"/>
  <c r="E58" i="2"/>
  <c r="G58" i="2" s="1"/>
  <c r="E11" i="2"/>
  <c r="E12" i="2"/>
  <c r="E13" i="2"/>
  <c r="E14" i="2"/>
  <c r="G14" i="2" s="1"/>
  <c r="E15" i="2"/>
  <c r="G15" i="2" s="1"/>
  <c r="E16" i="2"/>
  <c r="E17" i="2"/>
  <c r="E18" i="2"/>
  <c r="E19" i="2"/>
  <c r="E20" i="2"/>
  <c r="G20" i="2" s="1"/>
  <c r="E21" i="2"/>
  <c r="G21" i="2" s="1"/>
  <c r="E22" i="2"/>
  <c r="G22" i="2" s="1"/>
  <c r="E23" i="2"/>
  <c r="E24" i="2"/>
  <c r="E25" i="2"/>
  <c r="E26" i="2"/>
  <c r="E27" i="2"/>
  <c r="G27" i="2" s="1"/>
  <c r="E28" i="2"/>
  <c r="G28" i="2" s="1"/>
  <c r="E29" i="2"/>
  <c r="G29" i="2" s="1"/>
  <c r="E30" i="2"/>
  <c r="G30" i="2" s="1"/>
  <c r="E31" i="2"/>
  <c r="G31" i="2" s="1"/>
  <c r="E32" i="2"/>
  <c r="G32" i="2" s="1"/>
  <c r="E33" i="2"/>
  <c r="G33" i="2" s="1"/>
  <c r="E34" i="2"/>
  <c r="G34" i="2" s="1"/>
  <c r="E35" i="2"/>
  <c r="E36" i="2"/>
  <c r="G3" i="2"/>
  <c r="G5" i="2"/>
  <c r="G2" i="2"/>
  <c r="F3" i="2"/>
  <c r="F4" i="2"/>
  <c r="F5" i="2"/>
  <c r="F6" i="2"/>
  <c r="F7" i="2"/>
  <c r="F8" i="2"/>
  <c r="F9" i="2"/>
  <c r="F10" i="2"/>
  <c r="E3" i="2"/>
  <c r="E4" i="2"/>
  <c r="G4" i="2" s="1"/>
  <c r="E5" i="2"/>
  <c r="E6" i="2"/>
  <c r="G6" i="2" s="1"/>
  <c r="E7" i="2"/>
  <c r="G7" i="2" s="1"/>
  <c r="E8" i="2"/>
  <c r="G8" i="2" s="1"/>
  <c r="E9" i="2"/>
  <c r="G9" i="2" s="1"/>
  <c r="E10" i="2"/>
  <c r="G10" i="2" s="1"/>
  <c r="F2" i="2"/>
  <c r="E2" i="2"/>
  <c r="F106" i="1"/>
  <c r="F107" i="1"/>
  <c r="F108" i="1"/>
  <c r="F109" i="1"/>
  <c r="F110" i="1"/>
  <c r="F111" i="1"/>
  <c r="F112" i="1"/>
  <c r="F113" i="1"/>
  <c r="F114" i="1"/>
  <c r="F116" i="1"/>
  <c r="F117" i="1"/>
  <c r="F119" i="1"/>
  <c r="F120" i="1"/>
  <c r="F122" i="1"/>
  <c r="F123" i="1"/>
  <c r="F124" i="1"/>
  <c r="F125" i="1"/>
  <c r="F126" i="1"/>
  <c r="F105" i="1"/>
  <c r="D106" i="1"/>
  <c r="D107" i="1"/>
  <c r="D108" i="1"/>
  <c r="D109" i="1"/>
  <c r="D110" i="1"/>
  <c r="D111" i="1"/>
  <c r="D112" i="1"/>
  <c r="D113" i="1"/>
  <c r="D114" i="1"/>
  <c r="D116" i="1"/>
  <c r="D117" i="1"/>
  <c r="D119" i="1"/>
  <c r="D120" i="1"/>
  <c r="D122" i="1"/>
  <c r="D123" i="1"/>
  <c r="D124" i="1"/>
  <c r="D125" i="1"/>
  <c r="D126" i="1"/>
  <c r="D105" i="1"/>
  <c r="F90" i="1"/>
  <c r="F91" i="1"/>
  <c r="F93" i="1"/>
  <c r="F94" i="1"/>
  <c r="F96" i="1"/>
  <c r="F97" i="1"/>
  <c r="F98" i="1"/>
  <c r="F99" i="1"/>
  <c r="F100" i="1"/>
  <c r="F80" i="1"/>
  <c r="F81" i="1"/>
  <c r="F82" i="1"/>
  <c r="F83" i="1"/>
  <c r="F84" i="1"/>
  <c r="F85" i="1"/>
  <c r="F86" i="1"/>
  <c r="F87" i="1"/>
  <c r="F88" i="1"/>
  <c r="F79" i="1"/>
  <c r="D80" i="1"/>
  <c r="D81" i="1"/>
  <c r="D82" i="1"/>
  <c r="D83" i="1"/>
  <c r="D84" i="1"/>
  <c r="D85" i="1"/>
  <c r="D86" i="1"/>
  <c r="D87" i="1"/>
  <c r="D88" i="1"/>
  <c r="D90" i="1"/>
  <c r="D91" i="1"/>
  <c r="D93" i="1"/>
  <c r="D94" i="1"/>
  <c r="D96" i="1"/>
  <c r="D97" i="1"/>
  <c r="D98" i="1"/>
  <c r="D99" i="1"/>
  <c r="D100" i="1"/>
  <c r="D79" i="1"/>
  <c r="F54" i="1"/>
  <c r="F55" i="1"/>
  <c r="F56" i="1"/>
  <c r="F57" i="1"/>
  <c r="F58" i="1"/>
  <c r="F59" i="1"/>
  <c r="F60" i="1"/>
  <c r="F61" i="1"/>
  <c r="F62" i="1"/>
  <c r="F63" i="1"/>
  <c r="F65" i="1"/>
  <c r="F66" i="1"/>
  <c r="F68" i="1"/>
  <c r="F69" i="1"/>
  <c r="F70" i="1"/>
  <c r="F71" i="1"/>
  <c r="F72" i="1"/>
  <c r="D55" i="1"/>
  <c r="D56" i="1"/>
  <c r="D57" i="1"/>
  <c r="D58" i="1"/>
  <c r="D59" i="1"/>
  <c r="D60" i="1"/>
  <c r="D61" i="1"/>
  <c r="D62" i="1"/>
  <c r="D63" i="1"/>
  <c r="D65" i="1"/>
  <c r="D66" i="1"/>
  <c r="D68" i="1"/>
  <c r="D69" i="1"/>
  <c r="D70" i="1"/>
  <c r="D71" i="1"/>
  <c r="D72" i="1"/>
  <c r="D54" i="1"/>
  <c r="F43" i="1"/>
  <c r="F44" i="1"/>
  <c r="D43" i="1"/>
  <c r="D44" i="1"/>
  <c r="D47" i="1"/>
  <c r="D48" i="1"/>
  <c r="D49" i="1"/>
  <c r="D50" i="1"/>
  <c r="F47" i="1"/>
  <c r="F48" i="1"/>
  <c r="F49" i="1"/>
  <c r="F50" i="1"/>
  <c r="F46" i="1"/>
  <c r="D46" i="1"/>
  <c r="F41" i="1"/>
  <c r="F40" i="1"/>
  <c r="D41" i="1"/>
  <c r="D40" i="1"/>
  <c r="F30" i="1"/>
  <c r="F31" i="1"/>
  <c r="F32" i="1"/>
  <c r="F33" i="1"/>
  <c r="F34" i="1"/>
  <c r="F35" i="1"/>
  <c r="F36" i="1"/>
  <c r="F37" i="1"/>
  <c r="F38" i="1"/>
  <c r="F29" i="1"/>
  <c r="D30" i="1"/>
  <c r="D31" i="1"/>
  <c r="D32" i="1"/>
  <c r="D33" i="1"/>
  <c r="D34" i="1"/>
  <c r="D35" i="1"/>
  <c r="D36" i="1"/>
  <c r="D37" i="1"/>
  <c r="D38" i="1"/>
  <c r="D29" i="1"/>
  <c r="F4" i="1"/>
  <c r="F5" i="1"/>
  <c r="F6" i="1"/>
  <c r="F7" i="1"/>
  <c r="F8" i="1"/>
  <c r="F9" i="1"/>
  <c r="F10" i="1"/>
  <c r="F11" i="1"/>
  <c r="F12" i="1"/>
  <c r="F14" i="1"/>
  <c r="F15" i="1"/>
  <c r="F17" i="1"/>
  <c r="F18" i="1"/>
  <c r="F20" i="1"/>
  <c r="F21" i="1"/>
  <c r="F22" i="1"/>
  <c r="F23" i="1"/>
  <c r="F24" i="1"/>
  <c r="D4" i="1"/>
  <c r="D5" i="1"/>
  <c r="D6" i="1"/>
  <c r="D7" i="1"/>
  <c r="D8" i="1"/>
  <c r="D9" i="1"/>
  <c r="D10" i="1"/>
  <c r="D11" i="1"/>
  <c r="D12" i="1"/>
  <c r="D14" i="1"/>
  <c r="D15" i="1"/>
  <c r="D17" i="1"/>
  <c r="D18" i="1"/>
  <c r="D20" i="1"/>
  <c r="D21" i="1"/>
  <c r="D22" i="1"/>
  <c r="D23" i="1"/>
  <c r="D24" i="1"/>
  <c r="F3" i="1"/>
  <c r="D3" i="1"/>
</calcChain>
</file>

<file path=xl/sharedStrings.xml><?xml version="1.0" encoding="utf-8"?>
<sst xmlns="http://schemas.openxmlformats.org/spreadsheetml/2006/main" count="460" uniqueCount="98">
  <si>
    <t>Cough</t>
  </si>
  <si>
    <t>No</t>
  </si>
  <si>
    <t>Yes</t>
  </si>
  <si>
    <t>Region</t>
  </si>
  <si>
    <t>Total</t>
  </si>
  <si>
    <t>Central</t>
  </si>
  <si>
    <t>Copperbelt</t>
  </si>
  <si>
    <t>Eastern</t>
  </si>
  <si>
    <t>Luapula</t>
  </si>
  <si>
    <t>Lusaka</t>
  </si>
  <si>
    <t>Muchinga</t>
  </si>
  <si>
    <t>Northern</t>
  </si>
  <si>
    <t>North Western</t>
  </si>
  <si>
    <t>Southern</t>
  </si>
  <si>
    <t>Western</t>
  </si>
  <si>
    <t>Gender</t>
  </si>
  <si>
    <t>Type of Region</t>
  </si>
  <si>
    <t>Urban</t>
  </si>
  <si>
    <t>Rural</t>
  </si>
  <si>
    <t>Wealth Index</t>
  </si>
  <si>
    <t>Poorest</t>
  </si>
  <si>
    <t>Poorer</t>
  </si>
  <si>
    <t>Middle</t>
  </si>
  <si>
    <t>Richer</t>
  </si>
  <si>
    <t>Richest</t>
  </si>
  <si>
    <t>Percentage</t>
  </si>
  <si>
    <t>Anemia</t>
  </si>
  <si>
    <t>Early Pregnancy Termination</t>
  </si>
  <si>
    <t>High Blood Pressure</t>
  </si>
  <si>
    <t>Underweight Birth</t>
  </si>
  <si>
    <t>Male</t>
  </si>
  <si>
    <t>Female</t>
  </si>
  <si>
    <t>Odds Ratio</t>
  </si>
  <si>
    <t>[95% Conf. Interval]</t>
  </si>
  <si>
    <t/>
  </si>
  <si>
    <t>_cons</t>
  </si>
  <si>
    <t>Unclean Fuel</t>
  </si>
  <si>
    <t>Electricity</t>
  </si>
  <si>
    <t>Outdoor Cooking</t>
  </si>
  <si>
    <t>Smoker</t>
  </si>
  <si>
    <t>Poorest vs Middle Wealth Quintile</t>
  </si>
  <si>
    <t>Sex of Household Head</t>
  </si>
  <si>
    <t>Urban vs Rural</t>
  </si>
  <si>
    <t>0.59, 2.91</t>
  </si>
  <si>
    <t>0.88, 1.51</t>
  </si>
  <si>
    <t>0.87, 1.04</t>
  </si>
  <si>
    <t>0.97, 1.2</t>
  </si>
  <si>
    <t>1.05, 1.27</t>
  </si>
  <si>
    <t>1.02, 1.25</t>
  </si>
  <si>
    <t>0.89, 1.17</t>
  </si>
  <si>
    <t>0.37, 0.45</t>
  </si>
  <si>
    <t>0.89, 5.07</t>
  </si>
  <si>
    <t>0.51, 29.35</t>
  </si>
  <si>
    <t>0.5, 1.38</t>
  </si>
  <si>
    <t>0.84, 1.14</t>
  </si>
  <si>
    <t>0.79, 1.14</t>
  </si>
  <si>
    <t>0.92, 1.29</t>
  </si>
  <si>
    <t>0.68, 1.1</t>
  </si>
  <si>
    <t>0.84, 1.13</t>
  </si>
  <si>
    <t>0.01, 0.81</t>
  </si>
  <si>
    <t>0.64, 1.6</t>
  </si>
  <si>
    <t>1.15, 1.51</t>
  </si>
  <si>
    <t>1.1, 1.52</t>
  </si>
  <si>
    <t>1.19, 1.62</t>
  </si>
  <si>
    <t>0.84, 1.15</t>
  </si>
  <si>
    <t>0.67, 1.05</t>
  </si>
  <si>
    <t>0.88, 1.22</t>
  </si>
  <si>
    <t>0.06, 0.16</t>
  </si>
  <si>
    <t>0.09, 0.54</t>
  </si>
  <si>
    <t>0.9, 2.19</t>
  </si>
  <si>
    <t>1.23, 1.75</t>
  </si>
  <si>
    <t>0.9, 1.36</t>
  </si>
  <si>
    <t>0.66, 0.96</t>
  </si>
  <si>
    <t>0.98, 1.44</t>
  </si>
  <si>
    <t>0.53, 0.87</t>
  </si>
  <si>
    <t>0.81, 1.21</t>
  </si>
  <si>
    <t>0.14, 1.29</t>
  </si>
  <si>
    <t>0.07, 4.84</t>
  </si>
  <si>
    <t>0.2, 1.61</t>
  </si>
  <si>
    <t>0.71, 1.37</t>
  </si>
  <si>
    <t>0.9, 1.94</t>
  </si>
  <si>
    <t>0.6, 1.2</t>
  </si>
  <si>
    <t>0.72, 1.58</t>
  </si>
  <si>
    <t>0.52, 1.3</t>
  </si>
  <si>
    <t>0.94, 1.76</t>
  </si>
  <si>
    <t>0.01, 1.73</t>
  </si>
  <si>
    <t>95% CI</t>
  </si>
  <si>
    <t>rounded odds</t>
  </si>
  <si>
    <t>Unclean fuel use</t>
  </si>
  <si>
    <t>Electricity access</t>
  </si>
  <si>
    <t>Outdoor cooking</t>
  </si>
  <si>
    <t>Indoor smoker</t>
  </si>
  <si>
    <t>Wealth Quintile</t>
  </si>
  <si>
    <t>Poorest wealth quintile</t>
  </si>
  <si>
    <t>Urban-Rural classification</t>
  </si>
  <si>
    <t>Middle wealth quintile (ref.)</t>
  </si>
  <si>
    <t>Male (ref.)</t>
  </si>
  <si>
    <t>Urban (ref.)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</si>
</sst>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00"/>
    <numFmt numFmtId="166" formatCode="0.0000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0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0" fontId="0" fillId="0" borderId="0" xfId="0" applyAlignment="1">
      <alignment wrapText="1"/>
    </xf>
    <xf numFmtId="164" fontId="3" fillId="0" borderId="0" xfId="1" applyNumberFormat="1" applyFont="1"/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/>
    </xf>
    <xf numFmtId="4" fontId="0" fillId="0" borderId="0" xfId="0" applyNumberFormat="1"/>
    <xf numFmtId="0" fontId="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EF70-5A5C-EC40-862C-D673F9102580}">
  <dimension ref="A1:I127"/>
  <sheetViews>
    <sheetView tabSelected="1" topLeftCell="A97" zoomScale="94" workbookViewId="0">
      <selection activeCell="B103" sqref="B103:G127"/>
    </sheetView>
  </sheetViews>
  <sheetFormatPr baseColWidth="10" defaultRowHeight="16" x14ac:dyDescent="0.2"/>
  <cols>
    <col min="1" max="1" width="14.5" style="5" customWidth="1"/>
    <col min="2" max="2" width="13.33203125" bestFit="1" customWidth="1"/>
    <col min="3" max="3" width="10.83203125" style="4"/>
    <col min="4" max="4" width="10.83203125" style="2"/>
    <col min="5" max="5" width="10.83203125" style="4"/>
    <col min="6" max="6" width="10.83203125" style="2"/>
    <col min="7" max="7" width="10.83203125" style="4"/>
  </cols>
  <sheetData>
    <row r="1" spans="1:7" ht="17" x14ac:dyDescent="0.2">
      <c r="A1" s="5" t="s">
        <v>0</v>
      </c>
      <c r="C1" s="4" t="s">
        <v>1</v>
      </c>
      <c r="D1" s="2" t="s">
        <v>25</v>
      </c>
      <c r="E1" s="4" t="s">
        <v>2</v>
      </c>
      <c r="F1" s="2" t="s">
        <v>25</v>
      </c>
      <c r="G1" s="4" t="s">
        <v>4</v>
      </c>
    </row>
    <row r="2" spans="1:7" x14ac:dyDescent="0.2">
      <c r="B2" s="18" t="s">
        <v>3</v>
      </c>
    </row>
    <row r="3" spans="1:7" x14ac:dyDescent="0.2">
      <c r="B3" s="1" t="s">
        <v>5</v>
      </c>
      <c r="C3" s="4">
        <v>783</v>
      </c>
      <c r="D3" s="2">
        <f>C3/G3</f>
        <v>0.84740259740259738</v>
      </c>
      <c r="E3" s="4">
        <v>141</v>
      </c>
      <c r="F3" s="2">
        <f>E3/G3</f>
        <v>0.15259740259740259</v>
      </c>
      <c r="G3" s="4">
        <v>924</v>
      </c>
    </row>
    <row r="4" spans="1:7" x14ac:dyDescent="0.2">
      <c r="B4" s="1" t="s">
        <v>6</v>
      </c>
      <c r="C4" s="4">
        <v>661</v>
      </c>
      <c r="D4" s="2">
        <f t="shared" ref="D4:D24" si="0">C4/G4</f>
        <v>0.75715922107674682</v>
      </c>
      <c r="E4" s="4">
        <v>212</v>
      </c>
      <c r="F4" s="2">
        <f t="shared" ref="F4:F24" si="1">E4/G4</f>
        <v>0.24284077892325315</v>
      </c>
      <c r="G4" s="4">
        <v>873</v>
      </c>
    </row>
    <row r="5" spans="1:7" x14ac:dyDescent="0.2">
      <c r="B5" s="1" t="s">
        <v>7</v>
      </c>
      <c r="C5" s="4">
        <v>813</v>
      </c>
      <c r="D5" s="2">
        <f t="shared" si="0"/>
        <v>0.72719141323792491</v>
      </c>
      <c r="E5" s="4">
        <v>305</v>
      </c>
      <c r="F5" s="2">
        <f t="shared" si="1"/>
        <v>0.27280858676207514</v>
      </c>
      <c r="G5" s="4">
        <v>1118</v>
      </c>
    </row>
    <row r="6" spans="1:7" x14ac:dyDescent="0.2">
      <c r="B6" s="1" t="s">
        <v>8</v>
      </c>
      <c r="C6" s="4">
        <v>862</v>
      </c>
      <c r="D6" s="2">
        <f t="shared" si="0"/>
        <v>0.77378815080789942</v>
      </c>
      <c r="E6" s="4">
        <v>252</v>
      </c>
      <c r="F6" s="2">
        <f t="shared" si="1"/>
        <v>0.22621184919210055</v>
      </c>
      <c r="G6" s="4">
        <v>1114</v>
      </c>
    </row>
    <row r="7" spans="1:7" x14ac:dyDescent="0.2">
      <c r="B7" s="1" t="s">
        <v>9</v>
      </c>
      <c r="C7" s="4">
        <v>830</v>
      </c>
      <c r="D7" s="2">
        <f t="shared" si="0"/>
        <v>0.84693877551020413</v>
      </c>
      <c r="E7" s="4">
        <v>150</v>
      </c>
      <c r="F7" s="2">
        <f t="shared" si="1"/>
        <v>0.15306122448979592</v>
      </c>
      <c r="G7" s="4">
        <v>980</v>
      </c>
    </row>
    <row r="8" spans="1:7" x14ac:dyDescent="0.2">
      <c r="B8" s="1" t="s">
        <v>10</v>
      </c>
      <c r="C8" s="4">
        <v>639</v>
      </c>
      <c r="D8" s="2">
        <f t="shared" si="0"/>
        <v>0.75265017667844525</v>
      </c>
      <c r="E8" s="4">
        <v>210</v>
      </c>
      <c r="F8" s="2">
        <f t="shared" si="1"/>
        <v>0.24734982332155478</v>
      </c>
      <c r="G8" s="4">
        <v>849</v>
      </c>
    </row>
    <row r="9" spans="1:7" x14ac:dyDescent="0.2">
      <c r="B9" s="1" t="s">
        <v>11</v>
      </c>
      <c r="C9" s="4">
        <v>769</v>
      </c>
      <c r="D9" s="2">
        <f t="shared" si="0"/>
        <v>0.81289640591966172</v>
      </c>
      <c r="E9" s="4">
        <v>177</v>
      </c>
      <c r="F9" s="2">
        <f t="shared" si="1"/>
        <v>0.18710359408033828</v>
      </c>
      <c r="G9" s="4">
        <v>946</v>
      </c>
    </row>
    <row r="10" spans="1:7" x14ac:dyDescent="0.2">
      <c r="B10" s="1" t="s">
        <v>12</v>
      </c>
      <c r="C10" s="4">
        <v>617</v>
      </c>
      <c r="D10" s="2">
        <f t="shared" si="0"/>
        <v>0.80443285528031294</v>
      </c>
      <c r="E10" s="4">
        <v>150</v>
      </c>
      <c r="F10" s="2">
        <f t="shared" si="1"/>
        <v>0.19556714471968709</v>
      </c>
      <c r="G10" s="4">
        <v>767</v>
      </c>
    </row>
    <row r="11" spans="1:7" x14ac:dyDescent="0.2">
      <c r="B11" s="1" t="s">
        <v>13</v>
      </c>
      <c r="C11" s="4">
        <v>810</v>
      </c>
      <c r="D11" s="2">
        <f t="shared" si="0"/>
        <v>0.84199584199584199</v>
      </c>
      <c r="E11" s="4">
        <v>152</v>
      </c>
      <c r="F11" s="2">
        <f t="shared" si="1"/>
        <v>0.15800415800415801</v>
      </c>
      <c r="G11" s="4">
        <v>962</v>
      </c>
    </row>
    <row r="12" spans="1:7" x14ac:dyDescent="0.2">
      <c r="B12" s="1" t="s">
        <v>14</v>
      </c>
      <c r="C12" s="4">
        <v>582</v>
      </c>
      <c r="D12" s="2">
        <f t="shared" si="0"/>
        <v>0.74424552429667523</v>
      </c>
      <c r="E12" s="4">
        <v>200</v>
      </c>
      <c r="F12" s="2">
        <f t="shared" si="1"/>
        <v>0.25575447570332482</v>
      </c>
      <c r="G12" s="4">
        <v>782</v>
      </c>
    </row>
    <row r="13" spans="1:7" x14ac:dyDescent="0.2">
      <c r="B13" s="18" t="s">
        <v>15</v>
      </c>
    </row>
    <row r="14" spans="1:7" x14ac:dyDescent="0.2">
      <c r="B14" s="1" t="s">
        <v>30</v>
      </c>
      <c r="C14" s="4">
        <v>3646</v>
      </c>
      <c r="D14" s="2">
        <f t="shared" si="0"/>
        <v>0.79054640069384219</v>
      </c>
      <c r="E14" s="4">
        <v>966</v>
      </c>
      <c r="F14" s="2">
        <f t="shared" si="1"/>
        <v>0.20945359930615784</v>
      </c>
      <c r="G14" s="4">
        <v>4612</v>
      </c>
    </row>
    <row r="15" spans="1:7" x14ac:dyDescent="0.2">
      <c r="B15" s="1" t="s">
        <v>31</v>
      </c>
      <c r="C15" s="4">
        <v>3720</v>
      </c>
      <c r="D15" s="2">
        <f t="shared" si="0"/>
        <v>0.79098447799277061</v>
      </c>
      <c r="E15" s="4">
        <v>983</v>
      </c>
      <c r="F15" s="2">
        <f t="shared" si="1"/>
        <v>0.20901552200722942</v>
      </c>
      <c r="G15" s="4">
        <v>4703</v>
      </c>
    </row>
    <row r="16" spans="1:7" x14ac:dyDescent="0.2">
      <c r="B16" s="18" t="s">
        <v>16</v>
      </c>
    </row>
    <row r="17" spans="1:7" x14ac:dyDescent="0.2">
      <c r="B17" s="1" t="s">
        <v>17</v>
      </c>
      <c r="C17" s="4">
        <v>2154</v>
      </c>
      <c r="D17" s="2">
        <f t="shared" si="0"/>
        <v>0.77426312005751263</v>
      </c>
      <c r="E17" s="4">
        <v>628</v>
      </c>
      <c r="F17" s="2">
        <f t="shared" si="1"/>
        <v>0.22573687994248742</v>
      </c>
      <c r="G17" s="4">
        <v>2782</v>
      </c>
    </row>
    <row r="18" spans="1:7" x14ac:dyDescent="0.2">
      <c r="B18" s="1" t="s">
        <v>18</v>
      </c>
      <c r="C18" s="4">
        <v>5212</v>
      </c>
      <c r="D18" s="2">
        <f t="shared" si="0"/>
        <v>0.79779580590846477</v>
      </c>
      <c r="E18" s="4">
        <v>1321</v>
      </c>
      <c r="F18" s="2">
        <f t="shared" si="1"/>
        <v>0.20220419409153528</v>
      </c>
      <c r="G18" s="4">
        <v>6533</v>
      </c>
    </row>
    <row r="19" spans="1:7" x14ac:dyDescent="0.2">
      <c r="B19" s="18" t="s">
        <v>19</v>
      </c>
    </row>
    <row r="20" spans="1:7" x14ac:dyDescent="0.2">
      <c r="B20" s="1" t="s">
        <v>20</v>
      </c>
      <c r="C20" s="4">
        <v>2075</v>
      </c>
      <c r="D20" s="2">
        <f t="shared" si="0"/>
        <v>0.78538985616956847</v>
      </c>
      <c r="E20" s="4">
        <v>567</v>
      </c>
      <c r="F20" s="2">
        <f t="shared" si="1"/>
        <v>0.2146101438304315</v>
      </c>
      <c r="G20" s="4">
        <v>2642</v>
      </c>
    </row>
    <row r="21" spans="1:7" x14ac:dyDescent="0.2">
      <c r="B21" s="1" t="s">
        <v>21</v>
      </c>
      <c r="C21" s="4">
        <v>1807</v>
      </c>
      <c r="D21" s="2">
        <f t="shared" si="0"/>
        <v>0.79849756959787888</v>
      </c>
      <c r="E21" s="4">
        <v>456</v>
      </c>
      <c r="F21" s="2">
        <f t="shared" si="1"/>
        <v>0.20150243040212107</v>
      </c>
      <c r="G21" s="4">
        <v>2263</v>
      </c>
    </row>
    <row r="22" spans="1:7" x14ac:dyDescent="0.2">
      <c r="B22" s="1" t="s">
        <v>22</v>
      </c>
      <c r="C22" s="4">
        <v>1447</v>
      </c>
      <c r="D22" s="2">
        <f t="shared" si="0"/>
        <v>0.79461834157056566</v>
      </c>
      <c r="E22" s="4">
        <v>374</v>
      </c>
      <c r="F22" s="2">
        <f t="shared" si="1"/>
        <v>0.20538165842943437</v>
      </c>
      <c r="G22" s="4">
        <v>1821</v>
      </c>
    </row>
    <row r="23" spans="1:7" x14ac:dyDescent="0.2">
      <c r="B23" s="1" t="s">
        <v>23</v>
      </c>
      <c r="C23" s="4">
        <v>1106</v>
      </c>
      <c r="D23" s="2">
        <f t="shared" si="0"/>
        <v>0.79855595667870038</v>
      </c>
      <c r="E23" s="4">
        <v>279</v>
      </c>
      <c r="F23" s="2">
        <f t="shared" si="1"/>
        <v>0.20144404332129964</v>
      </c>
      <c r="G23" s="4">
        <v>1385</v>
      </c>
    </row>
    <row r="24" spans="1:7" x14ac:dyDescent="0.2">
      <c r="B24" s="1" t="s">
        <v>24</v>
      </c>
      <c r="C24" s="4">
        <v>931</v>
      </c>
      <c r="D24" s="2">
        <f t="shared" si="0"/>
        <v>0.77325581395348841</v>
      </c>
      <c r="E24" s="4">
        <v>273</v>
      </c>
      <c r="F24" s="2">
        <f t="shared" si="1"/>
        <v>0.22674418604651161</v>
      </c>
      <c r="G24" s="4">
        <v>1204</v>
      </c>
    </row>
    <row r="25" spans="1:7" x14ac:dyDescent="0.2">
      <c r="B25" s="1" t="s">
        <v>4</v>
      </c>
      <c r="C25" s="17">
        <v>7366</v>
      </c>
      <c r="E25" s="17">
        <f>SUM(E3:E12)</f>
        <v>1949</v>
      </c>
      <c r="G25" s="17">
        <v>9315</v>
      </c>
    </row>
    <row r="27" spans="1:7" ht="17" x14ac:dyDescent="0.2">
      <c r="A27" s="5" t="s">
        <v>26</v>
      </c>
      <c r="C27" s="4" t="s">
        <v>1</v>
      </c>
      <c r="D27" s="2" t="s">
        <v>25</v>
      </c>
      <c r="E27" s="4" t="s">
        <v>2</v>
      </c>
      <c r="F27" s="2" t="s">
        <v>25</v>
      </c>
      <c r="G27" s="4" t="s">
        <v>4</v>
      </c>
    </row>
    <row r="28" spans="1:7" x14ac:dyDescent="0.2">
      <c r="B28" s="18" t="s">
        <v>3</v>
      </c>
    </row>
    <row r="29" spans="1:7" x14ac:dyDescent="0.2">
      <c r="B29" s="1" t="s">
        <v>5</v>
      </c>
      <c r="C29" s="4">
        <v>1409</v>
      </c>
      <c r="D29" s="2">
        <f>C29/G29</f>
        <v>0.66026241799437679</v>
      </c>
      <c r="E29" s="4">
        <v>725</v>
      </c>
      <c r="F29" s="2">
        <f>E29/G29</f>
        <v>0.33973758200562326</v>
      </c>
      <c r="G29" s="4">
        <v>2134</v>
      </c>
    </row>
    <row r="30" spans="1:7" x14ac:dyDescent="0.2">
      <c r="B30" s="1" t="s">
        <v>6</v>
      </c>
      <c r="C30" s="4">
        <v>1394</v>
      </c>
      <c r="D30" s="2">
        <f t="shared" ref="D30:D38" si="2">C30/G30</f>
        <v>0.61060008760402984</v>
      </c>
      <c r="E30" s="4">
        <v>889</v>
      </c>
      <c r="F30" s="2">
        <f t="shared" ref="F30:F38" si="3">E30/G30</f>
        <v>0.38939991239597022</v>
      </c>
      <c r="G30" s="4">
        <v>2283</v>
      </c>
    </row>
    <row r="31" spans="1:7" x14ac:dyDescent="0.2">
      <c r="B31" s="1" t="s">
        <v>7</v>
      </c>
      <c r="C31" s="4">
        <v>1478</v>
      </c>
      <c r="D31" s="2">
        <f t="shared" si="2"/>
        <v>0.61404237640216042</v>
      </c>
      <c r="E31" s="4">
        <v>929</v>
      </c>
      <c r="F31" s="2">
        <f t="shared" si="3"/>
        <v>0.38595762359783964</v>
      </c>
      <c r="G31" s="4">
        <v>2407</v>
      </c>
    </row>
    <row r="32" spans="1:7" x14ac:dyDescent="0.2">
      <c r="B32" s="1" t="s">
        <v>8</v>
      </c>
      <c r="C32" s="4">
        <v>1176</v>
      </c>
      <c r="D32" s="2">
        <f t="shared" si="2"/>
        <v>0.54068965517241374</v>
      </c>
      <c r="E32" s="4">
        <v>999</v>
      </c>
      <c r="F32" s="2">
        <f t="shared" si="3"/>
        <v>0.4593103448275862</v>
      </c>
      <c r="G32" s="4">
        <v>2175</v>
      </c>
    </row>
    <row r="33" spans="2:7" x14ac:dyDescent="0.2">
      <c r="B33" s="1" t="s">
        <v>9</v>
      </c>
      <c r="C33" s="4">
        <v>1531</v>
      </c>
      <c r="D33" s="2">
        <f t="shared" si="2"/>
        <v>0.59618380062305298</v>
      </c>
      <c r="E33" s="4">
        <v>1037</v>
      </c>
      <c r="F33" s="2">
        <f t="shared" si="3"/>
        <v>0.40381619937694702</v>
      </c>
      <c r="G33" s="4">
        <v>2568</v>
      </c>
    </row>
    <row r="34" spans="2:7" x14ac:dyDescent="0.2">
      <c r="B34" s="1" t="s">
        <v>10</v>
      </c>
      <c r="C34" s="4">
        <v>1191</v>
      </c>
      <c r="D34" s="2">
        <f t="shared" si="2"/>
        <v>0.63519999999999999</v>
      </c>
      <c r="E34" s="4">
        <v>684</v>
      </c>
      <c r="F34" s="2">
        <f t="shared" si="3"/>
        <v>0.36480000000000001</v>
      </c>
      <c r="G34" s="4">
        <v>1875</v>
      </c>
    </row>
    <row r="35" spans="2:7" x14ac:dyDescent="0.2">
      <c r="B35" s="1" t="s">
        <v>11</v>
      </c>
      <c r="C35" s="4">
        <v>1201</v>
      </c>
      <c r="D35" s="2">
        <f t="shared" si="2"/>
        <v>0.59220907297830372</v>
      </c>
      <c r="E35" s="4">
        <v>827</v>
      </c>
      <c r="F35" s="2">
        <f t="shared" si="3"/>
        <v>0.40779092702169623</v>
      </c>
      <c r="G35" s="4">
        <v>2028</v>
      </c>
    </row>
    <row r="36" spans="2:7" x14ac:dyDescent="0.2">
      <c r="B36" s="1" t="s">
        <v>12</v>
      </c>
      <c r="C36" s="4">
        <v>927</v>
      </c>
      <c r="D36" s="2">
        <f t="shared" si="2"/>
        <v>0.54084014002333725</v>
      </c>
      <c r="E36" s="4">
        <v>787</v>
      </c>
      <c r="F36" s="2">
        <f t="shared" si="3"/>
        <v>0.45915985997666275</v>
      </c>
      <c r="G36" s="4">
        <v>1714</v>
      </c>
    </row>
    <row r="37" spans="2:7" x14ac:dyDescent="0.2">
      <c r="B37" s="1" t="s">
        <v>13</v>
      </c>
      <c r="C37" s="4">
        <v>1244</v>
      </c>
      <c r="D37" s="2">
        <f t="shared" si="2"/>
        <v>0.58985301090564246</v>
      </c>
      <c r="E37" s="4">
        <v>865</v>
      </c>
      <c r="F37" s="2">
        <f t="shared" si="3"/>
        <v>0.41014698909435754</v>
      </c>
      <c r="G37" s="4">
        <v>2109</v>
      </c>
    </row>
    <row r="38" spans="2:7" x14ac:dyDescent="0.2">
      <c r="B38" s="1" t="s">
        <v>14</v>
      </c>
      <c r="C38" s="4">
        <v>872</v>
      </c>
      <c r="D38" s="2">
        <f t="shared" si="2"/>
        <v>0.52028639618138428</v>
      </c>
      <c r="E38" s="4">
        <v>804</v>
      </c>
      <c r="F38" s="2">
        <f t="shared" si="3"/>
        <v>0.47971360381861577</v>
      </c>
      <c r="G38" s="4">
        <v>1676</v>
      </c>
    </row>
    <row r="39" spans="2:7" x14ac:dyDescent="0.2">
      <c r="B39" s="18" t="s">
        <v>15</v>
      </c>
    </row>
    <row r="40" spans="2:7" x14ac:dyDescent="0.2">
      <c r="B40" s="1" t="s">
        <v>30</v>
      </c>
      <c r="C40" s="4">
        <v>1549</v>
      </c>
      <c r="D40" s="2">
        <f>C40/G40</f>
        <v>0.40380604796663189</v>
      </c>
      <c r="E40" s="4">
        <v>2287</v>
      </c>
      <c r="F40" s="2">
        <f>E40/G40</f>
        <v>0.59619395203336811</v>
      </c>
      <c r="G40" s="4">
        <v>3836</v>
      </c>
    </row>
    <row r="41" spans="2:7" x14ac:dyDescent="0.2">
      <c r="B41" s="1" t="s">
        <v>31</v>
      </c>
      <c r="C41" s="4">
        <v>10874</v>
      </c>
      <c r="D41" s="2">
        <f>C41/G41</f>
        <v>0.63468160859160683</v>
      </c>
      <c r="E41" s="4">
        <v>6259</v>
      </c>
      <c r="F41" s="2">
        <f>E41/G41</f>
        <v>0.36531839140839317</v>
      </c>
      <c r="G41" s="4">
        <v>17133</v>
      </c>
    </row>
    <row r="42" spans="2:7" x14ac:dyDescent="0.2">
      <c r="B42" s="18" t="s">
        <v>16</v>
      </c>
    </row>
    <row r="43" spans="2:7" x14ac:dyDescent="0.2">
      <c r="B43" s="1" t="s">
        <v>17</v>
      </c>
      <c r="C43" s="4">
        <v>4637</v>
      </c>
      <c r="D43" s="2">
        <f t="shared" ref="D43:D44" si="4">C43/G43</f>
        <v>0.61117701331224461</v>
      </c>
      <c r="E43" s="4">
        <v>2950</v>
      </c>
      <c r="F43" s="2">
        <f t="shared" ref="F43:F44" si="5">E43/G43</f>
        <v>0.38882298668775539</v>
      </c>
      <c r="G43" s="4">
        <v>7587</v>
      </c>
    </row>
    <row r="44" spans="2:7" x14ac:dyDescent="0.2">
      <c r="B44" s="1" t="s">
        <v>18</v>
      </c>
      <c r="C44" s="4">
        <v>7786</v>
      </c>
      <c r="D44" s="2">
        <f t="shared" si="4"/>
        <v>0.58182633388133309</v>
      </c>
      <c r="E44" s="4">
        <v>5596</v>
      </c>
      <c r="F44" s="2">
        <f t="shared" si="5"/>
        <v>0.41817366611866685</v>
      </c>
      <c r="G44" s="4">
        <v>13382</v>
      </c>
    </row>
    <row r="45" spans="2:7" x14ac:dyDescent="0.2">
      <c r="B45" s="18" t="s">
        <v>19</v>
      </c>
    </row>
    <row r="46" spans="2:7" x14ac:dyDescent="0.2">
      <c r="B46" s="1" t="s">
        <v>20</v>
      </c>
      <c r="C46" s="6">
        <v>2742</v>
      </c>
      <c r="D46" s="2">
        <f>C46/G46</f>
        <v>0.55720382036171512</v>
      </c>
      <c r="E46" s="6">
        <v>2179</v>
      </c>
      <c r="F46" s="2">
        <f>E46/G46</f>
        <v>0.44279617963828488</v>
      </c>
      <c r="G46" s="6">
        <v>4921</v>
      </c>
    </row>
    <row r="47" spans="2:7" x14ac:dyDescent="0.2">
      <c r="B47" s="1" t="s">
        <v>21</v>
      </c>
      <c r="C47" s="6">
        <v>2598</v>
      </c>
      <c r="D47" s="2">
        <f t="shared" ref="D47:D50" si="6">C47/G47</f>
        <v>0.57592551540678338</v>
      </c>
      <c r="E47" s="6">
        <v>1913</v>
      </c>
      <c r="F47" s="2">
        <f t="shared" ref="F47:F50" si="7">E47/G47</f>
        <v>0.42407448459321656</v>
      </c>
      <c r="G47" s="6">
        <v>4511</v>
      </c>
    </row>
    <row r="48" spans="2:7" x14ac:dyDescent="0.2">
      <c r="B48" s="1" t="s">
        <v>22</v>
      </c>
      <c r="C48" s="6">
        <v>2494</v>
      </c>
      <c r="D48" s="2">
        <f t="shared" si="6"/>
        <v>0.60081907973982174</v>
      </c>
      <c r="E48" s="6">
        <v>1657</v>
      </c>
      <c r="F48" s="2">
        <f t="shared" si="7"/>
        <v>0.39918092026017826</v>
      </c>
      <c r="G48" s="6">
        <v>4151</v>
      </c>
    </row>
    <row r="49" spans="1:9" x14ac:dyDescent="0.2">
      <c r="B49" s="1" t="s">
        <v>23</v>
      </c>
      <c r="C49" s="6">
        <v>2258</v>
      </c>
      <c r="D49" s="2">
        <f t="shared" si="6"/>
        <v>0.62169603524229078</v>
      </c>
      <c r="E49" s="6">
        <v>1374</v>
      </c>
      <c r="F49" s="2">
        <f t="shared" si="7"/>
        <v>0.37830396475770928</v>
      </c>
      <c r="G49" s="6">
        <v>3632</v>
      </c>
    </row>
    <row r="50" spans="1:9" x14ac:dyDescent="0.2">
      <c r="B50" s="1" t="s">
        <v>24</v>
      </c>
      <c r="C50" s="6">
        <v>2331</v>
      </c>
      <c r="D50" s="2">
        <f t="shared" si="6"/>
        <v>0.62093766648907833</v>
      </c>
      <c r="E50" s="6">
        <v>1423</v>
      </c>
      <c r="F50" s="2">
        <f t="shared" si="7"/>
        <v>0.37906233351092167</v>
      </c>
      <c r="G50" s="6">
        <v>3754</v>
      </c>
      <c r="I50" s="2"/>
    </row>
    <row r="51" spans="1:9" x14ac:dyDescent="0.2">
      <c r="B51" s="18" t="s">
        <v>4</v>
      </c>
      <c r="C51" s="4">
        <f>SUM(C29:C38)</f>
        <v>12423</v>
      </c>
      <c r="E51" s="4">
        <f>SUM(E29:E38)</f>
        <v>8546</v>
      </c>
      <c r="G51" s="4">
        <f>SUM(G29:G38)</f>
        <v>20969</v>
      </c>
    </row>
    <row r="52" spans="1:9" ht="34" x14ac:dyDescent="0.2">
      <c r="A52" s="5" t="s">
        <v>27</v>
      </c>
      <c r="C52" s="4" t="s">
        <v>1</v>
      </c>
      <c r="D52" s="2" t="s">
        <v>25</v>
      </c>
      <c r="E52" s="4" t="s">
        <v>2</v>
      </c>
      <c r="F52" s="2" t="s">
        <v>25</v>
      </c>
      <c r="G52" s="4" t="s">
        <v>4</v>
      </c>
    </row>
    <row r="53" spans="1:9" x14ac:dyDescent="0.2">
      <c r="B53" s="18" t="s">
        <v>3</v>
      </c>
    </row>
    <row r="54" spans="1:9" x14ac:dyDescent="0.2">
      <c r="B54" s="1" t="s">
        <v>5</v>
      </c>
      <c r="C54" s="4">
        <v>2199</v>
      </c>
      <c r="D54" s="2">
        <f t="shared" ref="D54:D63" si="8">C54/G54</f>
        <v>0.91816283924843423</v>
      </c>
      <c r="E54" s="4">
        <v>196</v>
      </c>
      <c r="F54" s="2">
        <f t="shared" ref="F54:F63" si="9">E54/G54</f>
        <v>8.183716075156576E-2</v>
      </c>
      <c r="G54" s="4">
        <v>2395</v>
      </c>
    </row>
    <row r="55" spans="1:9" x14ac:dyDescent="0.2">
      <c r="B55" s="1" t="s">
        <v>6</v>
      </c>
      <c r="C55" s="4">
        <v>2339</v>
      </c>
      <c r="D55" s="2">
        <f t="shared" si="8"/>
        <v>0.92086614173228343</v>
      </c>
      <c r="E55" s="4">
        <v>201</v>
      </c>
      <c r="F55" s="2">
        <f t="shared" si="9"/>
        <v>7.9133858267716531E-2</v>
      </c>
      <c r="G55" s="4">
        <v>2540</v>
      </c>
    </row>
    <row r="56" spans="1:9" x14ac:dyDescent="0.2">
      <c r="B56" s="1" t="s">
        <v>7</v>
      </c>
      <c r="C56" s="4">
        <v>2425</v>
      </c>
      <c r="D56" s="2">
        <f t="shared" si="8"/>
        <v>0.88892961876832843</v>
      </c>
      <c r="E56" s="4">
        <v>303</v>
      </c>
      <c r="F56" s="2">
        <f t="shared" si="9"/>
        <v>0.11107038123167155</v>
      </c>
      <c r="G56" s="4">
        <v>2728</v>
      </c>
    </row>
    <row r="57" spans="1:9" x14ac:dyDescent="0.2">
      <c r="B57" s="1" t="s">
        <v>8</v>
      </c>
      <c r="C57" s="4">
        <v>2315</v>
      </c>
      <c r="D57" s="2">
        <f t="shared" si="8"/>
        <v>0.88056295169265886</v>
      </c>
      <c r="E57" s="4">
        <v>314</v>
      </c>
      <c r="F57" s="2">
        <f t="shared" si="9"/>
        <v>0.1194370483073412</v>
      </c>
      <c r="G57" s="4">
        <v>2629</v>
      </c>
    </row>
    <row r="58" spans="1:9" x14ac:dyDescent="0.2">
      <c r="B58" s="1" t="s">
        <v>9</v>
      </c>
      <c r="C58" s="4">
        <v>2625</v>
      </c>
      <c r="D58" s="2">
        <f t="shared" si="8"/>
        <v>0.92920353982300885</v>
      </c>
      <c r="E58" s="4">
        <v>200</v>
      </c>
      <c r="F58" s="2">
        <f t="shared" si="9"/>
        <v>7.0796460176991149E-2</v>
      </c>
      <c r="G58" s="4">
        <v>2825</v>
      </c>
    </row>
    <row r="59" spans="1:9" x14ac:dyDescent="0.2">
      <c r="B59" s="1" t="s">
        <v>10</v>
      </c>
      <c r="C59" s="4">
        <v>1883</v>
      </c>
      <c r="D59" s="2">
        <f t="shared" si="8"/>
        <v>0.89709385421629351</v>
      </c>
      <c r="E59" s="4">
        <v>216</v>
      </c>
      <c r="F59" s="2">
        <f t="shared" si="9"/>
        <v>0.10290614578370652</v>
      </c>
      <c r="G59" s="4">
        <v>2099</v>
      </c>
    </row>
    <row r="60" spans="1:9" x14ac:dyDescent="0.2">
      <c r="B60" s="1" t="s">
        <v>11</v>
      </c>
      <c r="C60" s="4">
        <v>2024</v>
      </c>
      <c r="D60" s="2">
        <f t="shared" si="8"/>
        <v>0.90155902004454347</v>
      </c>
      <c r="E60" s="4">
        <v>221</v>
      </c>
      <c r="F60" s="2">
        <f t="shared" si="9"/>
        <v>9.8440979955456573E-2</v>
      </c>
      <c r="G60" s="4">
        <v>2245</v>
      </c>
    </row>
    <row r="61" spans="1:9" x14ac:dyDescent="0.2">
      <c r="B61" s="1" t="s">
        <v>12</v>
      </c>
      <c r="C61" s="4">
        <v>1723</v>
      </c>
      <c r="D61" s="2">
        <f t="shared" si="8"/>
        <v>0.91600212652844237</v>
      </c>
      <c r="E61" s="4">
        <v>158</v>
      </c>
      <c r="F61" s="2">
        <f t="shared" si="9"/>
        <v>8.3997873471557682E-2</v>
      </c>
      <c r="G61" s="4">
        <v>1881</v>
      </c>
    </row>
    <row r="62" spans="1:9" x14ac:dyDescent="0.2">
      <c r="B62" s="1" t="s">
        <v>13</v>
      </c>
      <c r="C62" s="4">
        <v>2178</v>
      </c>
      <c r="D62" s="2">
        <f t="shared" si="8"/>
        <v>0.92054099746407436</v>
      </c>
      <c r="E62" s="4">
        <v>188</v>
      </c>
      <c r="F62" s="2">
        <f t="shared" si="9"/>
        <v>7.945900253592561E-2</v>
      </c>
      <c r="G62" s="4">
        <v>2366</v>
      </c>
    </row>
    <row r="63" spans="1:9" x14ac:dyDescent="0.2">
      <c r="B63" s="1" t="s">
        <v>14</v>
      </c>
      <c r="C63" s="4">
        <v>1728</v>
      </c>
      <c r="D63" s="2">
        <f t="shared" si="8"/>
        <v>0.89348500517063079</v>
      </c>
      <c r="E63" s="4">
        <v>206</v>
      </c>
      <c r="F63" s="2">
        <f t="shared" si="9"/>
        <v>0.10651499482936919</v>
      </c>
      <c r="G63" s="4">
        <v>1934</v>
      </c>
    </row>
    <row r="64" spans="1:9" x14ac:dyDescent="0.2">
      <c r="B64" s="18" t="s">
        <v>16</v>
      </c>
    </row>
    <row r="65" spans="1:7" x14ac:dyDescent="0.2">
      <c r="B65" s="1" t="s">
        <v>17</v>
      </c>
      <c r="C65" s="4">
        <v>7790</v>
      </c>
      <c r="D65" s="2">
        <f>C65/G65</f>
        <v>0.91647058823529415</v>
      </c>
      <c r="E65" s="4">
        <v>710</v>
      </c>
      <c r="F65" s="2">
        <f>E65/G65</f>
        <v>8.352941176470588E-2</v>
      </c>
      <c r="G65" s="4">
        <v>8500</v>
      </c>
    </row>
    <row r="66" spans="1:7" x14ac:dyDescent="0.2">
      <c r="B66" s="1" t="s">
        <v>18</v>
      </c>
      <c r="C66" s="4">
        <v>13649</v>
      </c>
      <c r="D66" s="2">
        <f>C66/G66</f>
        <v>0.90140007924976884</v>
      </c>
      <c r="E66" s="4">
        <v>1493</v>
      </c>
      <c r="F66" s="2">
        <f>E66/G66</f>
        <v>9.8599920750231149E-2</v>
      </c>
      <c r="G66" s="4">
        <v>15142</v>
      </c>
    </row>
    <row r="67" spans="1:7" x14ac:dyDescent="0.2">
      <c r="B67" s="18" t="s">
        <v>19</v>
      </c>
    </row>
    <row r="68" spans="1:7" x14ac:dyDescent="0.2">
      <c r="B68" s="1" t="s">
        <v>20</v>
      </c>
      <c r="C68" s="4">
        <v>5071</v>
      </c>
      <c r="D68" s="2">
        <f>C68/G68</f>
        <v>0.89419855404690529</v>
      </c>
      <c r="E68" s="4">
        <v>600</v>
      </c>
      <c r="F68" s="2">
        <f>E68/G68</f>
        <v>0.10580144595309469</v>
      </c>
      <c r="G68" s="4">
        <v>5671</v>
      </c>
    </row>
    <row r="69" spans="1:7" x14ac:dyDescent="0.2">
      <c r="B69" s="1" t="s">
        <v>21</v>
      </c>
      <c r="C69" s="4">
        <v>4558</v>
      </c>
      <c r="D69" s="2">
        <f>C69/G69</f>
        <v>0.89865930599369082</v>
      </c>
      <c r="E69" s="4">
        <v>514</v>
      </c>
      <c r="F69" s="2">
        <f>E69/G69</f>
        <v>0.10134069400630914</v>
      </c>
      <c r="G69" s="4">
        <v>5072</v>
      </c>
    </row>
    <row r="70" spans="1:7" x14ac:dyDescent="0.2">
      <c r="B70" s="1" t="s">
        <v>22</v>
      </c>
      <c r="C70" s="4">
        <v>4267</v>
      </c>
      <c r="D70" s="2">
        <f>C70/G70</f>
        <v>0.91862217438105487</v>
      </c>
      <c r="E70" s="4">
        <v>378</v>
      </c>
      <c r="F70" s="2">
        <f>E70/G70</f>
        <v>8.1377825618945104E-2</v>
      </c>
      <c r="G70" s="4">
        <v>4645</v>
      </c>
    </row>
    <row r="71" spans="1:7" x14ac:dyDescent="0.2">
      <c r="B71" s="1" t="s">
        <v>23</v>
      </c>
      <c r="C71" s="4">
        <v>3695</v>
      </c>
      <c r="D71" s="2">
        <f>C71/G71</f>
        <v>0.91551040634291381</v>
      </c>
      <c r="E71" s="4">
        <v>341</v>
      </c>
      <c r="F71" s="2">
        <f>E71/G71</f>
        <v>8.448959365708622E-2</v>
      </c>
      <c r="G71" s="4">
        <v>4036</v>
      </c>
    </row>
    <row r="72" spans="1:7" x14ac:dyDescent="0.2">
      <c r="B72" s="1" t="s">
        <v>24</v>
      </c>
      <c r="C72" s="4">
        <v>3848</v>
      </c>
      <c r="D72" s="2">
        <f>C72/G72</f>
        <v>0.91228070175438591</v>
      </c>
      <c r="E72" s="4">
        <v>370</v>
      </c>
      <c r="F72" s="2">
        <f>E72/G72</f>
        <v>8.771929824561403E-2</v>
      </c>
      <c r="G72" s="4">
        <v>4218</v>
      </c>
    </row>
    <row r="73" spans="1:7" x14ac:dyDescent="0.2">
      <c r="B73" s="18" t="s">
        <v>4</v>
      </c>
      <c r="C73" s="4">
        <f>SUM(C54:C63)</f>
        <v>21439</v>
      </c>
      <c r="E73" s="4">
        <f>SUM(E54:E63)</f>
        <v>2203</v>
      </c>
      <c r="G73" s="4">
        <f>SUM(G54:G63)</f>
        <v>23642</v>
      </c>
    </row>
    <row r="76" spans="1:7" x14ac:dyDescent="0.2">
      <c r="B76" s="1"/>
    </row>
    <row r="77" spans="1:7" ht="34" x14ac:dyDescent="0.2">
      <c r="A77" s="5" t="s">
        <v>28</v>
      </c>
      <c r="C77" s="4" t="s">
        <v>1</v>
      </c>
      <c r="D77" s="2" t="s">
        <v>25</v>
      </c>
      <c r="E77" s="4" t="s">
        <v>2</v>
      </c>
      <c r="F77" s="2" t="s">
        <v>25</v>
      </c>
      <c r="G77" s="4" t="s">
        <v>4</v>
      </c>
    </row>
    <row r="78" spans="1:7" x14ac:dyDescent="0.2">
      <c r="B78" s="18" t="s">
        <v>3</v>
      </c>
    </row>
    <row r="79" spans="1:7" x14ac:dyDescent="0.2">
      <c r="B79" s="1" t="s">
        <v>5</v>
      </c>
      <c r="C79" s="4">
        <v>2235</v>
      </c>
      <c r="D79" s="2">
        <f>C79/G79</f>
        <v>0.93319415448851772</v>
      </c>
      <c r="E79" s="4">
        <v>160</v>
      </c>
      <c r="F79" s="2">
        <f>E79/G79</f>
        <v>6.6805845511482248E-2</v>
      </c>
      <c r="G79" s="4">
        <v>2395</v>
      </c>
    </row>
    <row r="80" spans="1:7" x14ac:dyDescent="0.2">
      <c r="B80" s="1" t="s">
        <v>6</v>
      </c>
      <c r="C80" s="4">
        <v>2257</v>
      </c>
      <c r="D80" s="2">
        <f t="shared" ref="D80:D100" si="10">C80/G80</f>
        <v>0.88858267716535433</v>
      </c>
      <c r="E80" s="4">
        <v>283</v>
      </c>
      <c r="F80" s="2">
        <f t="shared" ref="F80:F100" si="11">E80/G80</f>
        <v>0.11141732283464567</v>
      </c>
      <c r="G80" s="4">
        <v>2540</v>
      </c>
    </row>
    <row r="81" spans="2:7" x14ac:dyDescent="0.2">
      <c r="B81" s="1" t="s">
        <v>7</v>
      </c>
      <c r="C81" s="4">
        <v>2408</v>
      </c>
      <c r="D81" s="2">
        <f t="shared" si="10"/>
        <v>0.88269794721407624</v>
      </c>
      <c r="E81" s="4">
        <v>320</v>
      </c>
      <c r="F81" s="2">
        <f t="shared" si="11"/>
        <v>0.11730205278592376</v>
      </c>
      <c r="G81" s="4">
        <v>2728</v>
      </c>
    </row>
    <row r="82" spans="2:7" x14ac:dyDescent="0.2">
      <c r="B82" s="1" t="s">
        <v>8</v>
      </c>
      <c r="C82" s="4">
        <v>2448</v>
      </c>
      <c r="D82" s="2">
        <f t="shared" si="10"/>
        <v>0.93115252947888927</v>
      </c>
      <c r="E82" s="4">
        <v>181</v>
      </c>
      <c r="F82" s="2">
        <f t="shared" si="11"/>
        <v>6.884747052111069E-2</v>
      </c>
      <c r="G82" s="4">
        <v>2629</v>
      </c>
    </row>
    <row r="83" spans="2:7" x14ac:dyDescent="0.2">
      <c r="B83" s="1" t="s">
        <v>9</v>
      </c>
      <c r="C83" s="4">
        <v>2544</v>
      </c>
      <c r="D83" s="2">
        <f t="shared" si="10"/>
        <v>0.90053097345132749</v>
      </c>
      <c r="E83" s="4">
        <v>281</v>
      </c>
      <c r="F83" s="2">
        <f t="shared" si="11"/>
        <v>9.9469026548672568E-2</v>
      </c>
      <c r="G83" s="4">
        <v>2825</v>
      </c>
    </row>
    <row r="84" spans="2:7" x14ac:dyDescent="0.2">
      <c r="B84" s="1" t="s">
        <v>10</v>
      </c>
      <c r="C84" s="4">
        <v>1988</v>
      </c>
      <c r="D84" s="2">
        <f t="shared" si="10"/>
        <v>0.94711767508337308</v>
      </c>
      <c r="E84" s="4">
        <v>111</v>
      </c>
      <c r="F84" s="2">
        <f t="shared" si="11"/>
        <v>5.2882324916626963E-2</v>
      </c>
      <c r="G84" s="4">
        <v>2099</v>
      </c>
    </row>
    <row r="85" spans="2:7" x14ac:dyDescent="0.2">
      <c r="B85" s="1" t="s">
        <v>11</v>
      </c>
      <c r="C85" s="4">
        <v>2143</v>
      </c>
      <c r="D85" s="2">
        <f t="shared" si="10"/>
        <v>0.9545657015590201</v>
      </c>
      <c r="E85" s="4">
        <v>102</v>
      </c>
      <c r="F85" s="2">
        <f t="shared" si="11"/>
        <v>4.5434298440979959E-2</v>
      </c>
      <c r="G85" s="4">
        <v>2245</v>
      </c>
    </row>
    <row r="86" spans="2:7" x14ac:dyDescent="0.2">
      <c r="B86" s="1" t="s">
        <v>12</v>
      </c>
      <c r="C86" s="4">
        <v>1772</v>
      </c>
      <c r="D86" s="2">
        <f t="shared" si="10"/>
        <v>0.94205209994683681</v>
      </c>
      <c r="E86" s="4">
        <v>109</v>
      </c>
      <c r="F86" s="2">
        <f t="shared" si="11"/>
        <v>5.7947900053163214E-2</v>
      </c>
      <c r="G86" s="4">
        <v>1881</v>
      </c>
    </row>
    <row r="87" spans="2:7" x14ac:dyDescent="0.2">
      <c r="B87" s="1" t="s">
        <v>13</v>
      </c>
      <c r="C87" s="4">
        <v>2179</v>
      </c>
      <c r="D87" s="2">
        <f t="shared" si="10"/>
        <v>0.92096365173288253</v>
      </c>
      <c r="E87" s="4">
        <v>187</v>
      </c>
      <c r="F87" s="2">
        <f t="shared" si="11"/>
        <v>7.9036348267117501E-2</v>
      </c>
      <c r="G87" s="4">
        <v>2366</v>
      </c>
    </row>
    <row r="88" spans="2:7" x14ac:dyDescent="0.2">
      <c r="B88" s="1" t="s">
        <v>14</v>
      </c>
      <c r="C88" s="4">
        <v>1820</v>
      </c>
      <c r="D88" s="2">
        <f t="shared" si="10"/>
        <v>0.9410548086866598</v>
      </c>
      <c r="E88" s="4">
        <v>114</v>
      </c>
      <c r="F88" s="2">
        <f t="shared" si="11"/>
        <v>5.894519131334023E-2</v>
      </c>
      <c r="G88" s="4">
        <v>1934</v>
      </c>
    </row>
    <row r="89" spans="2:7" x14ac:dyDescent="0.2">
      <c r="B89" s="18" t="s">
        <v>15</v>
      </c>
    </row>
    <row r="90" spans="2:7" x14ac:dyDescent="0.2">
      <c r="B90" s="1" t="s">
        <v>30</v>
      </c>
      <c r="C90" s="4">
        <v>4600</v>
      </c>
      <c r="D90" s="2">
        <f t="shared" si="10"/>
        <v>0.92779346510689797</v>
      </c>
      <c r="E90" s="4">
        <v>358</v>
      </c>
      <c r="F90" s="2">
        <f t="shared" si="11"/>
        <v>7.2206534893102053E-2</v>
      </c>
      <c r="G90" s="4">
        <v>4958</v>
      </c>
    </row>
    <row r="91" spans="2:7" x14ac:dyDescent="0.2">
      <c r="B91" s="1" t="s">
        <v>31</v>
      </c>
      <c r="C91" s="4">
        <v>17194</v>
      </c>
      <c r="D91" s="2">
        <f t="shared" si="10"/>
        <v>0.92025262256476126</v>
      </c>
      <c r="E91" s="4">
        <v>1490</v>
      </c>
      <c r="F91" s="2">
        <f t="shared" si="11"/>
        <v>7.97473774352387E-2</v>
      </c>
      <c r="G91" s="4">
        <v>18684</v>
      </c>
    </row>
    <row r="92" spans="2:7" x14ac:dyDescent="0.2">
      <c r="B92" s="18" t="s">
        <v>16</v>
      </c>
    </row>
    <row r="93" spans="2:7" x14ac:dyDescent="0.2">
      <c r="B93" s="1" t="s">
        <v>17</v>
      </c>
      <c r="C93" s="6">
        <v>7575</v>
      </c>
      <c r="D93" s="2">
        <f t="shared" si="10"/>
        <v>0.89117647058823535</v>
      </c>
      <c r="E93" s="6">
        <v>925</v>
      </c>
      <c r="F93" s="2">
        <f t="shared" si="11"/>
        <v>0.10882352941176471</v>
      </c>
      <c r="G93" s="6">
        <v>8500</v>
      </c>
    </row>
    <row r="94" spans="2:7" x14ac:dyDescent="0.2">
      <c r="B94" s="1" t="s">
        <v>18</v>
      </c>
      <c r="C94" s="6">
        <v>14219</v>
      </c>
      <c r="D94" s="2">
        <f t="shared" si="10"/>
        <v>0.93904371945581822</v>
      </c>
      <c r="E94" s="6">
        <v>923</v>
      </c>
      <c r="F94" s="2">
        <f t="shared" si="11"/>
        <v>6.0956280544181743E-2</v>
      </c>
      <c r="G94" s="6">
        <v>15142</v>
      </c>
    </row>
    <row r="95" spans="2:7" x14ac:dyDescent="0.2">
      <c r="B95" s="18" t="s">
        <v>19</v>
      </c>
    </row>
    <row r="96" spans="2:7" x14ac:dyDescent="0.2">
      <c r="B96" s="1" t="s">
        <v>20</v>
      </c>
      <c r="C96" s="4">
        <v>5390</v>
      </c>
      <c r="D96" s="2">
        <f t="shared" si="10"/>
        <v>0.95044965614530064</v>
      </c>
      <c r="E96" s="4">
        <v>281</v>
      </c>
      <c r="F96" s="2">
        <f t="shared" si="11"/>
        <v>4.955034385469935E-2</v>
      </c>
      <c r="G96" s="4">
        <v>5671</v>
      </c>
    </row>
    <row r="97" spans="1:7" x14ac:dyDescent="0.2">
      <c r="B97" s="1" t="s">
        <v>21</v>
      </c>
      <c r="C97" s="4">
        <v>4782</v>
      </c>
      <c r="D97" s="2">
        <f t="shared" si="10"/>
        <v>0.94282334384858046</v>
      </c>
      <c r="E97" s="4">
        <v>290</v>
      </c>
      <c r="F97" s="2">
        <f t="shared" si="11"/>
        <v>5.7176656151419557E-2</v>
      </c>
      <c r="G97" s="4">
        <v>5072</v>
      </c>
    </row>
    <row r="98" spans="1:7" x14ac:dyDescent="0.2">
      <c r="B98" s="1" t="s">
        <v>22</v>
      </c>
      <c r="C98" s="4">
        <v>4325</v>
      </c>
      <c r="D98" s="2">
        <f t="shared" si="10"/>
        <v>0.93110871905274484</v>
      </c>
      <c r="E98" s="4">
        <v>320</v>
      </c>
      <c r="F98" s="2">
        <f t="shared" si="11"/>
        <v>6.8891280947255107E-2</v>
      </c>
      <c r="G98" s="4">
        <v>4645</v>
      </c>
    </row>
    <row r="99" spans="1:7" x14ac:dyDescent="0.2">
      <c r="B99" s="1" t="s">
        <v>23</v>
      </c>
      <c r="C99" s="4">
        <v>3633</v>
      </c>
      <c r="D99" s="2">
        <f t="shared" si="10"/>
        <v>0.90014866204162536</v>
      </c>
      <c r="E99" s="4">
        <v>403</v>
      </c>
      <c r="F99" s="2">
        <f t="shared" si="11"/>
        <v>9.9851337958374628E-2</v>
      </c>
      <c r="G99" s="4">
        <v>4036</v>
      </c>
    </row>
    <row r="100" spans="1:7" x14ac:dyDescent="0.2">
      <c r="B100" s="1" t="s">
        <v>24</v>
      </c>
      <c r="C100" s="4">
        <v>3664</v>
      </c>
      <c r="D100" s="2">
        <f t="shared" si="10"/>
        <v>0.86865813181602658</v>
      </c>
      <c r="E100" s="4">
        <v>554</v>
      </c>
      <c r="F100" s="2">
        <f t="shared" si="11"/>
        <v>0.13134186818397345</v>
      </c>
      <c r="G100" s="4">
        <v>4218</v>
      </c>
    </row>
    <row r="101" spans="1:7" x14ac:dyDescent="0.2">
      <c r="B101" s="18" t="s">
        <v>4</v>
      </c>
      <c r="C101" s="4">
        <f>SUM(C79:C88)</f>
        <v>21794</v>
      </c>
      <c r="D101" s="4"/>
      <c r="E101" s="4">
        <f>SUM(E79:E88)</f>
        <v>1848</v>
      </c>
      <c r="F101" s="4"/>
      <c r="G101" s="4">
        <f t="shared" ref="F101:G101" si="12">SUM(G79:G88)</f>
        <v>23642</v>
      </c>
    </row>
    <row r="103" spans="1:7" ht="34" x14ac:dyDescent="0.2">
      <c r="A103" s="5" t="s">
        <v>29</v>
      </c>
      <c r="C103" s="4" t="s">
        <v>1</v>
      </c>
      <c r="D103" s="2" t="s">
        <v>25</v>
      </c>
      <c r="E103" s="4" t="s">
        <v>2</v>
      </c>
      <c r="F103" s="2" t="s">
        <v>25</v>
      </c>
      <c r="G103" s="4" t="s">
        <v>4</v>
      </c>
    </row>
    <row r="104" spans="1:7" x14ac:dyDescent="0.2">
      <c r="B104" s="18" t="s">
        <v>3</v>
      </c>
      <c r="D104"/>
    </row>
    <row r="105" spans="1:7" x14ac:dyDescent="0.2">
      <c r="B105" s="1" t="s">
        <v>5</v>
      </c>
      <c r="C105" s="6">
        <v>481</v>
      </c>
      <c r="D105" s="2">
        <f>C105/G105</f>
        <v>0.91271347248576851</v>
      </c>
      <c r="E105" s="6">
        <v>46</v>
      </c>
      <c r="F105" s="2">
        <f>E105/G105</f>
        <v>8.7286527514231493E-2</v>
      </c>
      <c r="G105" s="6">
        <v>527</v>
      </c>
    </row>
    <row r="106" spans="1:7" x14ac:dyDescent="0.2">
      <c r="B106" s="1" t="s">
        <v>6</v>
      </c>
      <c r="C106" s="6">
        <v>483</v>
      </c>
      <c r="D106" s="2">
        <f t="shared" ref="D106:D126" si="13">C106/G106</f>
        <v>0.91825095057034223</v>
      </c>
      <c r="E106" s="6">
        <v>43</v>
      </c>
      <c r="F106" s="2">
        <f t="shared" ref="F106:F126" si="14">E106/G106</f>
        <v>8.17490494296578E-2</v>
      </c>
      <c r="G106" s="6">
        <v>526</v>
      </c>
    </row>
    <row r="107" spans="1:7" x14ac:dyDescent="0.2">
      <c r="B107" s="1" t="s">
        <v>7</v>
      </c>
      <c r="C107" s="6">
        <v>598</v>
      </c>
      <c r="D107" s="2">
        <f t="shared" si="13"/>
        <v>0.92</v>
      </c>
      <c r="E107" s="6">
        <v>52</v>
      </c>
      <c r="F107" s="2">
        <f t="shared" si="14"/>
        <v>0.08</v>
      </c>
      <c r="G107" s="6">
        <v>650</v>
      </c>
    </row>
    <row r="108" spans="1:7" x14ac:dyDescent="0.2">
      <c r="B108" s="1" t="s">
        <v>8</v>
      </c>
      <c r="C108" s="6">
        <v>404</v>
      </c>
      <c r="D108" s="2">
        <f t="shared" si="13"/>
        <v>0.92237442922374424</v>
      </c>
      <c r="E108" s="6">
        <v>34</v>
      </c>
      <c r="F108" s="2">
        <f t="shared" si="14"/>
        <v>7.7625570776255703E-2</v>
      </c>
      <c r="G108" s="6">
        <v>438</v>
      </c>
    </row>
    <row r="109" spans="1:7" x14ac:dyDescent="0.2">
      <c r="B109" s="1" t="s">
        <v>9</v>
      </c>
      <c r="C109" s="6">
        <v>559</v>
      </c>
      <c r="D109" s="2">
        <f t="shared" si="13"/>
        <v>0.91789819376026272</v>
      </c>
      <c r="E109" s="6">
        <v>50</v>
      </c>
      <c r="F109" s="2">
        <f t="shared" si="14"/>
        <v>8.2101806239737271E-2</v>
      </c>
      <c r="G109" s="6">
        <v>609</v>
      </c>
    </row>
    <row r="110" spans="1:7" x14ac:dyDescent="0.2">
      <c r="B110" s="1" t="s">
        <v>10</v>
      </c>
      <c r="C110" s="6">
        <v>354</v>
      </c>
      <c r="D110" s="2">
        <f t="shared" si="13"/>
        <v>0.91002570694087404</v>
      </c>
      <c r="E110" s="6">
        <v>35</v>
      </c>
      <c r="F110" s="2">
        <f t="shared" si="14"/>
        <v>8.9974293059125965E-2</v>
      </c>
      <c r="G110" s="6">
        <v>389</v>
      </c>
    </row>
    <row r="111" spans="1:7" x14ac:dyDescent="0.2">
      <c r="B111" s="1" t="s">
        <v>11</v>
      </c>
      <c r="C111" s="6">
        <v>330</v>
      </c>
      <c r="D111" s="2">
        <f t="shared" si="13"/>
        <v>0.94555873925501432</v>
      </c>
      <c r="E111" s="6">
        <v>19</v>
      </c>
      <c r="F111" s="2">
        <f t="shared" si="14"/>
        <v>5.4441260744985676E-2</v>
      </c>
      <c r="G111" s="6">
        <v>349</v>
      </c>
    </row>
    <row r="112" spans="1:7" x14ac:dyDescent="0.2">
      <c r="B112" s="1" t="s">
        <v>12</v>
      </c>
      <c r="C112" s="6">
        <v>473</v>
      </c>
      <c r="D112" s="2">
        <f t="shared" si="13"/>
        <v>0.923828125</v>
      </c>
      <c r="E112" s="6">
        <v>39</v>
      </c>
      <c r="F112" s="2">
        <f t="shared" si="14"/>
        <v>7.6171875E-2</v>
      </c>
      <c r="G112" s="6">
        <v>512</v>
      </c>
    </row>
    <row r="113" spans="2:7" x14ac:dyDescent="0.2">
      <c r="B113" s="1" t="s">
        <v>13</v>
      </c>
      <c r="C113" s="6">
        <v>453</v>
      </c>
      <c r="D113" s="2">
        <f t="shared" si="13"/>
        <v>0.91886409736308317</v>
      </c>
      <c r="E113" s="6">
        <v>40</v>
      </c>
      <c r="F113" s="2">
        <f t="shared" si="14"/>
        <v>8.1135902636916835E-2</v>
      </c>
      <c r="G113" s="6">
        <v>493</v>
      </c>
    </row>
    <row r="114" spans="2:7" x14ac:dyDescent="0.2">
      <c r="B114" s="1" t="s">
        <v>14</v>
      </c>
      <c r="C114" s="6">
        <v>371</v>
      </c>
      <c r="D114" s="2">
        <f t="shared" si="13"/>
        <v>0.93450881612090675</v>
      </c>
      <c r="E114" s="6">
        <v>26</v>
      </c>
      <c r="F114" s="2">
        <f t="shared" si="14"/>
        <v>6.5491183879093195E-2</v>
      </c>
      <c r="G114" s="6">
        <v>397</v>
      </c>
    </row>
    <row r="115" spans="2:7" x14ac:dyDescent="0.2">
      <c r="B115" s="18" t="s">
        <v>15</v>
      </c>
    </row>
    <row r="116" spans="2:7" x14ac:dyDescent="0.2">
      <c r="B116" s="1" t="s">
        <v>30</v>
      </c>
      <c r="C116" s="4">
        <v>2286</v>
      </c>
      <c r="D116" s="2">
        <f t="shared" si="13"/>
        <v>0.9345870809484873</v>
      </c>
      <c r="E116" s="4">
        <v>160</v>
      </c>
      <c r="F116" s="2">
        <f t="shared" si="14"/>
        <v>6.5412919051512669E-2</v>
      </c>
      <c r="G116" s="4">
        <v>2446</v>
      </c>
    </row>
    <row r="117" spans="2:7" x14ac:dyDescent="0.2">
      <c r="B117" s="1" t="s">
        <v>31</v>
      </c>
      <c r="C117" s="4">
        <v>2220</v>
      </c>
      <c r="D117" s="2">
        <f t="shared" si="13"/>
        <v>0.90834697217675942</v>
      </c>
      <c r="E117" s="4">
        <v>224</v>
      </c>
      <c r="F117" s="2">
        <f t="shared" si="14"/>
        <v>9.1653027823240585E-2</v>
      </c>
      <c r="G117" s="4">
        <v>2444</v>
      </c>
    </row>
    <row r="118" spans="2:7" x14ac:dyDescent="0.2">
      <c r="B118" s="18" t="s">
        <v>16</v>
      </c>
    </row>
    <row r="119" spans="2:7" x14ac:dyDescent="0.2">
      <c r="B119" s="1" t="s">
        <v>17</v>
      </c>
      <c r="C119" s="4">
        <v>1575</v>
      </c>
      <c r="D119" s="2">
        <f t="shared" si="13"/>
        <v>0.91304347826086951</v>
      </c>
      <c r="E119" s="4">
        <v>150</v>
      </c>
      <c r="F119" s="2">
        <f t="shared" si="14"/>
        <v>8.6956521739130432E-2</v>
      </c>
      <c r="G119" s="4">
        <v>1725</v>
      </c>
    </row>
    <row r="120" spans="2:7" x14ac:dyDescent="0.2">
      <c r="B120" s="1" t="s">
        <v>18</v>
      </c>
      <c r="C120" s="4">
        <v>2931</v>
      </c>
      <c r="D120" s="2">
        <f t="shared" si="13"/>
        <v>0.92606635071090049</v>
      </c>
      <c r="E120" s="4">
        <v>234</v>
      </c>
      <c r="F120" s="2">
        <f t="shared" si="14"/>
        <v>7.3933649289099526E-2</v>
      </c>
      <c r="G120" s="4">
        <v>3165</v>
      </c>
    </row>
    <row r="121" spans="2:7" x14ac:dyDescent="0.2">
      <c r="B121" s="18" t="s">
        <v>19</v>
      </c>
    </row>
    <row r="122" spans="2:7" x14ac:dyDescent="0.2">
      <c r="B122" s="1" t="s">
        <v>20</v>
      </c>
      <c r="C122" s="6">
        <v>1007</v>
      </c>
      <c r="D122" s="2">
        <f t="shared" si="13"/>
        <v>0.92216117216117222</v>
      </c>
      <c r="E122" s="6">
        <v>85</v>
      </c>
      <c r="F122" s="2">
        <f t="shared" si="14"/>
        <v>7.783882783882784E-2</v>
      </c>
      <c r="G122" s="6">
        <v>1092</v>
      </c>
    </row>
    <row r="123" spans="2:7" x14ac:dyDescent="0.2">
      <c r="B123" s="1" t="s">
        <v>21</v>
      </c>
      <c r="C123" s="6">
        <v>1027</v>
      </c>
      <c r="D123" s="2">
        <f t="shared" si="13"/>
        <v>0.92941176470588238</v>
      </c>
      <c r="E123" s="6">
        <v>78</v>
      </c>
      <c r="F123" s="2">
        <f t="shared" si="14"/>
        <v>7.0588235294117646E-2</v>
      </c>
      <c r="G123" s="6">
        <v>1105</v>
      </c>
    </row>
    <row r="124" spans="2:7" x14ac:dyDescent="0.2">
      <c r="B124" s="1" t="s">
        <v>22</v>
      </c>
      <c r="C124" s="6">
        <v>925</v>
      </c>
      <c r="D124" s="2">
        <f t="shared" si="13"/>
        <v>0.90864440078585462</v>
      </c>
      <c r="E124" s="6">
        <v>93</v>
      </c>
      <c r="F124" s="2">
        <f t="shared" si="14"/>
        <v>9.1355599214145378E-2</v>
      </c>
      <c r="G124" s="6">
        <v>1018</v>
      </c>
    </row>
    <row r="125" spans="2:7" x14ac:dyDescent="0.2">
      <c r="B125" s="1" t="s">
        <v>23</v>
      </c>
      <c r="C125" s="6">
        <v>801</v>
      </c>
      <c r="D125" s="2">
        <f t="shared" si="13"/>
        <v>0.91022727272727277</v>
      </c>
      <c r="E125" s="6">
        <v>79</v>
      </c>
      <c r="F125" s="2">
        <f t="shared" si="14"/>
        <v>8.9772727272727268E-2</v>
      </c>
      <c r="G125" s="6">
        <v>880</v>
      </c>
    </row>
    <row r="126" spans="2:7" x14ac:dyDescent="0.2">
      <c r="B126" s="1" t="s">
        <v>24</v>
      </c>
      <c r="C126" s="6">
        <v>746</v>
      </c>
      <c r="D126" s="2">
        <f t="shared" si="13"/>
        <v>0.93836477987421385</v>
      </c>
      <c r="E126" s="6">
        <v>49</v>
      </c>
      <c r="F126" s="2">
        <f t="shared" si="14"/>
        <v>6.1635220125786164E-2</v>
      </c>
      <c r="G126" s="6">
        <v>795</v>
      </c>
    </row>
    <row r="127" spans="2:7" x14ac:dyDescent="0.2">
      <c r="B127" s="18" t="s">
        <v>4</v>
      </c>
      <c r="C127" s="4">
        <f>SUM(C105:C114)</f>
        <v>4506</v>
      </c>
      <c r="D127" s="4"/>
      <c r="E127" s="4">
        <f t="shared" ref="D127:G127" si="15">SUM(E105:E114)</f>
        <v>384</v>
      </c>
      <c r="F127" s="4"/>
      <c r="G127" s="4">
        <f t="shared" si="15"/>
        <v>4890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60EC-1F5B-3342-903F-DD82C9C1F3F6}">
  <dimension ref="A1:H58"/>
  <sheetViews>
    <sheetView topLeftCell="A34" zoomScale="93" workbookViewId="0">
      <selection activeCell="H50" sqref="H50:H58"/>
    </sheetView>
  </sheetViews>
  <sheetFormatPr baseColWidth="10" defaultRowHeight="16" x14ac:dyDescent="0.2"/>
  <cols>
    <col min="1" max="1" width="27.33203125" bestFit="1" customWidth="1"/>
    <col min="3" max="3" width="12.6640625" bestFit="1" customWidth="1"/>
    <col min="5" max="5" width="17.33203125" bestFit="1" customWidth="1"/>
  </cols>
  <sheetData>
    <row r="1" spans="1:8" x14ac:dyDescent="0.2">
      <c r="A1" s="7" t="s">
        <v>26</v>
      </c>
      <c r="B1" s="8" t="s">
        <v>32</v>
      </c>
      <c r="C1" s="16" t="s">
        <v>33</v>
      </c>
      <c r="D1" s="16"/>
      <c r="E1" s="8"/>
      <c r="F1" s="16" t="s">
        <v>33</v>
      </c>
      <c r="G1" s="16"/>
      <c r="H1" t="s">
        <v>87</v>
      </c>
    </row>
    <row r="2" spans="1:8" x14ac:dyDescent="0.2">
      <c r="A2" s="9" t="s">
        <v>36</v>
      </c>
      <c r="B2" s="10">
        <v>1.3045329999999999</v>
      </c>
      <c r="C2" s="15">
        <v>0.58574850000000001</v>
      </c>
      <c r="D2" s="13">
        <v>2.9053529999999999</v>
      </c>
      <c r="E2" s="14">
        <f>ROUND(C2, 2)</f>
        <v>0.59</v>
      </c>
      <c r="F2" s="14">
        <f>ROUND(D2, 2)</f>
        <v>2.91</v>
      </c>
      <c r="G2" s="10" t="str">
        <f>_xlfn.CONCAT(E2, ", ", F2)</f>
        <v>0.59, 2.91</v>
      </c>
      <c r="H2" s="3">
        <f>ROUND(B2, 2)</f>
        <v>1.3</v>
      </c>
    </row>
    <row r="3" spans="1:8" x14ac:dyDescent="0.2">
      <c r="A3" s="9" t="s">
        <v>37</v>
      </c>
      <c r="B3" s="10">
        <v>1.155675</v>
      </c>
      <c r="C3" s="10">
        <v>0.8823242</v>
      </c>
      <c r="D3" s="10">
        <v>1.513711</v>
      </c>
      <c r="E3" s="14">
        <f t="shared" ref="E3:E58" si="0">ROUND(C3, 2)</f>
        <v>0.88</v>
      </c>
      <c r="F3" s="14">
        <f t="shared" ref="F3:F10" si="1">ROUND(D3, 2)</f>
        <v>1.51</v>
      </c>
      <c r="G3" s="10" t="str">
        <f t="shared" ref="G3:G10" si="2">_xlfn.CONCAT(E3, ", ", F3)</f>
        <v>0.88, 1.51</v>
      </c>
      <c r="H3" s="3">
        <f t="shared" ref="H3:H58" si="3">ROUND(B3, 2)</f>
        <v>1.1599999999999999</v>
      </c>
    </row>
    <row r="4" spans="1:8" x14ac:dyDescent="0.2">
      <c r="A4" s="9" t="s">
        <v>38</v>
      </c>
      <c r="B4" s="10">
        <v>0.94798079999999996</v>
      </c>
      <c r="C4" s="10">
        <v>0.86670340000000001</v>
      </c>
      <c r="D4" s="10">
        <v>1.03688</v>
      </c>
      <c r="E4" s="14">
        <f t="shared" si="0"/>
        <v>0.87</v>
      </c>
      <c r="F4" s="14">
        <f t="shared" si="1"/>
        <v>1.04</v>
      </c>
      <c r="G4" s="10" t="str">
        <f t="shared" si="2"/>
        <v>0.87, 1.04</v>
      </c>
      <c r="H4" s="3">
        <f t="shared" si="3"/>
        <v>0.95</v>
      </c>
    </row>
    <row r="5" spans="1:8" x14ac:dyDescent="0.2">
      <c r="A5" s="9" t="s">
        <v>39</v>
      </c>
      <c r="B5" s="10">
        <v>1.0786739999999999</v>
      </c>
      <c r="C5" s="10">
        <v>0.96774559999999998</v>
      </c>
      <c r="D5" s="10">
        <v>1.2023189999999999</v>
      </c>
      <c r="E5" s="14">
        <f t="shared" si="0"/>
        <v>0.97</v>
      </c>
      <c r="F5" s="14">
        <f t="shared" si="1"/>
        <v>1.2</v>
      </c>
      <c r="G5" s="10" t="str">
        <f t="shared" si="2"/>
        <v>0.97, 1.2</v>
      </c>
      <c r="H5" s="3">
        <f t="shared" si="3"/>
        <v>1.08</v>
      </c>
    </row>
    <row r="6" spans="1:8" x14ac:dyDescent="0.2">
      <c r="A6" s="9" t="s">
        <v>40</v>
      </c>
      <c r="B6" s="10">
        <v>1.1524859999999999</v>
      </c>
      <c r="C6" s="10">
        <v>1.046249</v>
      </c>
      <c r="D6" s="10">
        <v>1.269512</v>
      </c>
      <c r="E6" s="14">
        <f t="shared" si="0"/>
        <v>1.05</v>
      </c>
      <c r="F6" s="14">
        <f t="shared" si="1"/>
        <v>1.27</v>
      </c>
      <c r="G6" s="10" t="str">
        <f t="shared" si="2"/>
        <v>1.05, 1.27</v>
      </c>
      <c r="H6" s="3">
        <f t="shared" si="3"/>
        <v>1.1499999999999999</v>
      </c>
    </row>
    <row r="7" spans="1:8" x14ac:dyDescent="0.2">
      <c r="A7" s="9" t="s">
        <v>41</v>
      </c>
      <c r="B7" s="10">
        <v>1.131135</v>
      </c>
      <c r="C7" s="10">
        <v>1.0228429999999999</v>
      </c>
      <c r="D7" s="10">
        <v>1.250891</v>
      </c>
      <c r="E7" s="14">
        <f t="shared" si="0"/>
        <v>1.02</v>
      </c>
      <c r="F7" s="14">
        <f t="shared" si="1"/>
        <v>1.25</v>
      </c>
      <c r="G7" s="10" t="str">
        <f t="shared" si="2"/>
        <v>1.02, 1.25</v>
      </c>
      <c r="H7" s="3">
        <f t="shared" si="3"/>
        <v>1.1299999999999999</v>
      </c>
    </row>
    <row r="8" spans="1:8" x14ac:dyDescent="0.2">
      <c r="A8" s="9" t="s">
        <v>42</v>
      </c>
      <c r="B8" s="10">
        <v>1.0219830000000001</v>
      </c>
      <c r="C8" s="10">
        <v>0.88954069999999996</v>
      </c>
      <c r="D8" s="10">
        <v>1.1741440000000001</v>
      </c>
      <c r="E8" s="14">
        <f t="shared" si="0"/>
        <v>0.89</v>
      </c>
      <c r="F8" s="14">
        <f t="shared" si="1"/>
        <v>1.17</v>
      </c>
      <c r="G8" s="10" t="str">
        <f t="shared" si="2"/>
        <v>0.89, 1.17</v>
      </c>
      <c r="H8" s="3">
        <f t="shared" si="3"/>
        <v>1.02</v>
      </c>
    </row>
    <row r="9" spans="1:8" x14ac:dyDescent="0.2">
      <c r="A9" s="9" t="s">
        <v>15</v>
      </c>
      <c r="B9" s="10">
        <v>0.40912179999999998</v>
      </c>
      <c r="C9" s="10">
        <v>0.36788320000000002</v>
      </c>
      <c r="D9" s="10">
        <v>0.45498300000000003</v>
      </c>
      <c r="E9" s="14">
        <f t="shared" si="0"/>
        <v>0.37</v>
      </c>
      <c r="F9" s="14">
        <f t="shared" si="1"/>
        <v>0.45</v>
      </c>
      <c r="G9" s="10" t="str">
        <f t="shared" si="2"/>
        <v>0.37, 0.45</v>
      </c>
      <c r="H9" s="3">
        <f t="shared" si="3"/>
        <v>0.41</v>
      </c>
    </row>
    <row r="10" spans="1:8" x14ac:dyDescent="0.2">
      <c r="A10" s="11" t="s">
        <v>35</v>
      </c>
      <c r="B10" s="12">
        <v>2.1275390000000001</v>
      </c>
      <c r="C10" s="12">
        <v>0.89238320000000004</v>
      </c>
      <c r="D10" s="12">
        <v>5.0722849999999999</v>
      </c>
      <c r="E10" s="14">
        <f t="shared" si="0"/>
        <v>0.89</v>
      </c>
      <c r="F10" s="14">
        <f t="shared" si="1"/>
        <v>5.07</v>
      </c>
      <c r="G10" s="10" t="str">
        <f t="shared" si="2"/>
        <v>0.89, 5.07</v>
      </c>
      <c r="H10" s="3">
        <f t="shared" si="3"/>
        <v>2.13</v>
      </c>
    </row>
    <row r="11" spans="1:8" x14ac:dyDescent="0.2">
      <c r="E11" s="14">
        <f t="shared" si="0"/>
        <v>0</v>
      </c>
      <c r="H11" s="3">
        <f t="shared" si="3"/>
        <v>0</v>
      </c>
    </row>
    <row r="12" spans="1:8" x14ac:dyDescent="0.2">
      <c r="E12" s="14">
        <f t="shared" si="0"/>
        <v>0</v>
      </c>
      <c r="H12" s="3">
        <f t="shared" si="3"/>
        <v>0</v>
      </c>
    </row>
    <row r="13" spans="1:8" x14ac:dyDescent="0.2">
      <c r="A13" s="7" t="s">
        <v>0</v>
      </c>
      <c r="B13" s="8" t="s">
        <v>32</v>
      </c>
      <c r="C13" s="16" t="s">
        <v>33</v>
      </c>
      <c r="D13" s="16"/>
      <c r="E13" s="14" t="e">
        <f t="shared" si="0"/>
        <v>#VALUE!</v>
      </c>
      <c r="F13" s="16"/>
      <c r="G13" s="16"/>
      <c r="H13" s="3" t="e">
        <f t="shared" si="3"/>
        <v>#VALUE!</v>
      </c>
    </row>
    <row r="14" spans="1:8" x14ac:dyDescent="0.2">
      <c r="A14" s="9" t="s">
        <v>36</v>
      </c>
      <c r="B14" s="10">
        <v>3.8658440000000001</v>
      </c>
      <c r="C14" s="10">
        <v>0.50924170000000002</v>
      </c>
      <c r="D14" s="10">
        <v>29.347069999999999</v>
      </c>
      <c r="E14" s="14">
        <f t="shared" si="0"/>
        <v>0.51</v>
      </c>
      <c r="F14" s="14">
        <f>ROUND(D14, 2)</f>
        <v>29.35</v>
      </c>
      <c r="G14" s="10" t="str">
        <f>_xlfn.CONCAT(E14, ", ", F14)</f>
        <v>0.51, 29.35</v>
      </c>
      <c r="H14" s="3">
        <f t="shared" si="3"/>
        <v>3.87</v>
      </c>
    </row>
    <row r="15" spans="1:8" x14ac:dyDescent="0.2">
      <c r="A15" s="9" t="s">
        <v>37</v>
      </c>
      <c r="B15" s="10">
        <v>0.82833219999999996</v>
      </c>
      <c r="C15" s="10">
        <v>0.49780340000000001</v>
      </c>
      <c r="D15" s="10">
        <v>1.3783240000000001</v>
      </c>
      <c r="E15" s="14">
        <f t="shared" si="0"/>
        <v>0.5</v>
      </c>
      <c r="F15" s="14">
        <f t="shared" ref="F15:F22" si="4">ROUND(D15, 2)</f>
        <v>1.38</v>
      </c>
      <c r="G15" s="10" t="str">
        <f t="shared" ref="G15:G22" si="5">_xlfn.CONCAT(E15, ", ", F15)</f>
        <v>0.5, 1.38</v>
      </c>
      <c r="H15" s="3">
        <f t="shared" si="3"/>
        <v>0.83</v>
      </c>
    </row>
    <row r="16" spans="1:8" x14ac:dyDescent="0.2">
      <c r="A16" s="9" t="s">
        <v>38</v>
      </c>
      <c r="B16" s="10">
        <v>0.97691499999999998</v>
      </c>
      <c r="C16" s="10">
        <v>0.83964559999999999</v>
      </c>
      <c r="D16" s="10">
        <v>1.1366259999999999</v>
      </c>
      <c r="E16" s="14">
        <f t="shared" si="0"/>
        <v>0.84</v>
      </c>
      <c r="F16" s="14">
        <f t="shared" si="4"/>
        <v>1.1399999999999999</v>
      </c>
      <c r="G16" s="10" t="str">
        <f t="shared" si="5"/>
        <v>0.84, 1.14</v>
      </c>
      <c r="H16" s="3">
        <f t="shared" si="3"/>
        <v>0.98</v>
      </c>
    </row>
    <row r="17" spans="1:8" x14ac:dyDescent="0.2">
      <c r="A17" s="9" t="s">
        <v>39</v>
      </c>
      <c r="B17" s="10">
        <v>0.95084999999999997</v>
      </c>
      <c r="C17" s="10">
        <v>0.78991270000000002</v>
      </c>
      <c r="D17" s="10">
        <v>1.144577</v>
      </c>
      <c r="E17" s="14">
        <f t="shared" si="0"/>
        <v>0.79</v>
      </c>
      <c r="F17" s="14">
        <f t="shared" si="4"/>
        <v>1.1399999999999999</v>
      </c>
      <c r="G17" s="10" t="str">
        <f t="shared" si="5"/>
        <v>0.79, 1.14</v>
      </c>
      <c r="H17" s="3">
        <f t="shared" si="3"/>
        <v>0.95</v>
      </c>
    </row>
    <row r="18" spans="1:8" x14ac:dyDescent="0.2">
      <c r="A18" s="9" t="s">
        <v>40</v>
      </c>
      <c r="B18" s="10">
        <v>1.092903</v>
      </c>
      <c r="C18" s="10">
        <v>0.9226721</v>
      </c>
      <c r="D18" s="10">
        <v>1.2945420000000001</v>
      </c>
      <c r="E18" s="14">
        <f t="shared" si="0"/>
        <v>0.92</v>
      </c>
      <c r="F18" s="14">
        <f t="shared" si="4"/>
        <v>1.29</v>
      </c>
      <c r="G18" s="10" t="str">
        <f t="shared" si="5"/>
        <v>0.92, 1.29</v>
      </c>
      <c r="H18" s="3">
        <f t="shared" si="3"/>
        <v>1.0900000000000001</v>
      </c>
    </row>
    <row r="19" spans="1:8" x14ac:dyDescent="0.2">
      <c r="A19" s="9" t="s">
        <v>41</v>
      </c>
      <c r="B19" s="10">
        <v>0.94892109999999996</v>
      </c>
      <c r="C19" s="10">
        <v>0.78902899999999998</v>
      </c>
      <c r="D19" s="10">
        <v>1.141214</v>
      </c>
      <c r="E19" s="14">
        <f t="shared" si="0"/>
        <v>0.79</v>
      </c>
      <c r="F19" s="14">
        <f t="shared" si="4"/>
        <v>1.1399999999999999</v>
      </c>
      <c r="G19" s="10" t="str">
        <f t="shared" si="5"/>
        <v>0.79, 1.14</v>
      </c>
      <c r="H19" s="3">
        <f t="shared" si="3"/>
        <v>0.95</v>
      </c>
    </row>
    <row r="20" spans="1:8" x14ac:dyDescent="0.2">
      <c r="A20" s="9" t="s">
        <v>42</v>
      </c>
      <c r="B20" s="10">
        <v>0.86207029999999996</v>
      </c>
      <c r="C20" s="10">
        <v>0.67559780000000003</v>
      </c>
      <c r="D20" s="10">
        <v>1.1000110000000001</v>
      </c>
      <c r="E20" s="14">
        <f t="shared" si="0"/>
        <v>0.68</v>
      </c>
      <c r="F20" s="14">
        <f t="shared" si="4"/>
        <v>1.1000000000000001</v>
      </c>
      <c r="G20" s="10" t="str">
        <f t="shared" si="5"/>
        <v>0.68, 1.1</v>
      </c>
      <c r="H20" s="3">
        <f t="shared" si="3"/>
        <v>0.86</v>
      </c>
    </row>
    <row r="21" spans="1:8" x14ac:dyDescent="0.2">
      <c r="A21" s="9" t="s">
        <v>15</v>
      </c>
      <c r="B21" s="10">
        <v>0.97385639999999996</v>
      </c>
      <c r="C21" s="10">
        <v>0.84242220000000001</v>
      </c>
      <c r="D21" s="10">
        <v>1.1257969999999999</v>
      </c>
      <c r="E21" s="14">
        <f t="shared" si="0"/>
        <v>0.84</v>
      </c>
      <c r="F21" s="14">
        <f t="shared" si="4"/>
        <v>1.1299999999999999</v>
      </c>
      <c r="G21" s="10" t="str">
        <f t="shared" si="5"/>
        <v>0.84, 1.13</v>
      </c>
      <c r="H21" s="3">
        <f t="shared" si="3"/>
        <v>0.97</v>
      </c>
    </row>
    <row r="22" spans="1:8" x14ac:dyDescent="0.2">
      <c r="A22" s="11" t="s">
        <v>35</v>
      </c>
      <c r="B22" s="12">
        <v>9.8836199999999999E-2</v>
      </c>
      <c r="C22" s="12">
        <v>1.20768E-2</v>
      </c>
      <c r="D22" s="12">
        <v>0.80887140000000002</v>
      </c>
      <c r="E22" s="14">
        <f t="shared" si="0"/>
        <v>0.01</v>
      </c>
      <c r="F22" s="14">
        <f t="shared" si="4"/>
        <v>0.81</v>
      </c>
      <c r="G22" s="10" t="str">
        <f t="shared" si="5"/>
        <v>0.01, 0.81</v>
      </c>
      <c r="H22" s="3">
        <f t="shared" si="3"/>
        <v>0.1</v>
      </c>
    </row>
    <row r="23" spans="1:8" x14ac:dyDescent="0.2">
      <c r="E23" s="14">
        <f t="shared" si="0"/>
        <v>0</v>
      </c>
      <c r="H23" s="3">
        <f t="shared" si="3"/>
        <v>0</v>
      </c>
    </row>
    <row r="24" spans="1:8" x14ac:dyDescent="0.2">
      <c r="E24" s="14">
        <f t="shared" si="0"/>
        <v>0</v>
      </c>
      <c r="H24" s="3">
        <f t="shared" si="3"/>
        <v>0</v>
      </c>
    </row>
    <row r="25" spans="1:8" x14ac:dyDescent="0.2">
      <c r="A25" s="7" t="s">
        <v>27</v>
      </c>
      <c r="B25" s="8" t="s">
        <v>32</v>
      </c>
      <c r="C25" s="16" t="s">
        <v>33</v>
      </c>
      <c r="D25" s="16"/>
      <c r="E25" s="14" t="e">
        <f t="shared" si="0"/>
        <v>#VALUE!</v>
      </c>
      <c r="F25" s="16"/>
      <c r="G25" s="16"/>
      <c r="H25" s="3" t="e">
        <f t="shared" si="3"/>
        <v>#VALUE!</v>
      </c>
    </row>
    <row r="26" spans="1:8" x14ac:dyDescent="0.2">
      <c r="A26" s="9" t="s">
        <v>36</v>
      </c>
      <c r="B26" s="10">
        <v>1</v>
      </c>
      <c r="C26" s="10" t="s">
        <v>34</v>
      </c>
      <c r="D26" s="10" t="s">
        <v>34</v>
      </c>
      <c r="E26" s="14" t="e">
        <f t="shared" si="0"/>
        <v>#VALUE!</v>
      </c>
      <c r="F26" s="10"/>
      <c r="G26" s="10"/>
      <c r="H26" s="3">
        <f t="shared" si="3"/>
        <v>1</v>
      </c>
    </row>
    <row r="27" spans="1:8" x14ac:dyDescent="0.2">
      <c r="A27" s="9" t="s">
        <v>37</v>
      </c>
      <c r="B27" s="10">
        <v>1.009789</v>
      </c>
      <c r="C27" s="10">
        <v>0.6375942</v>
      </c>
      <c r="D27" s="10">
        <v>1.5992519999999999</v>
      </c>
      <c r="E27" s="14">
        <f t="shared" si="0"/>
        <v>0.64</v>
      </c>
      <c r="F27" s="14">
        <f>ROUND(D27, 2)</f>
        <v>1.6</v>
      </c>
      <c r="G27" s="10" t="str">
        <f>_xlfn.CONCAT(E27, ", ", F27)</f>
        <v>0.64, 1.6</v>
      </c>
      <c r="H27" s="3">
        <f t="shared" si="3"/>
        <v>1.01</v>
      </c>
    </row>
    <row r="28" spans="1:8" x14ac:dyDescent="0.2">
      <c r="A28" s="9" t="s">
        <v>38</v>
      </c>
      <c r="B28" s="10">
        <v>1.316392</v>
      </c>
      <c r="C28" s="10">
        <v>1.1454770000000001</v>
      </c>
      <c r="D28" s="10">
        <v>1.512807</v>
      </c>
      <c r="E28" s="14">
        <f t="shared" si="0"/>
        <v>1.1499999999999999</v>
      </c>
      <c r="F28" s="14">
        <f t="shared" ref="F28:F34" si="6">ROUND(D28, 2)</f>
        <v>1.51</v>
      </c>
      <c r="G28" s="10" t="str">
        <f t="shared" ref="G28:G34" si="7">_xlfn.CONCAT(E28, ", ", F28)</f>
        <v>1.15, 1.51</v>
      </c>
      <c r="H28" s="3">
        <f t="shared" si="3"/>
        <v>1.32</v>
      </c>
    </row>
    <row r="29" spans="1:8" x14ac:dyDescent="0.2">
      <c r="A29" s="9" t="s">
        <v>39</v>
      </c>
      <c r="B29" s="10">
        <v>1.2942830000000001</v>
      </c>
      <c r="C29" s="10">
        <v>1.104636</v>
      </c>
      <c r="D29" s="10">
        <v>1.516489</v>
      </c>
      <c r="E29" s="14">
        <f t="shared" si="0"/>
        <v>1.1000000000000001</v>
      </c>
      <c r="F29" s="14">
        <f t="shared" si="6"/>
        <v>1.52</v>
      </c>
      <c r="G29" s="10" t="str">
        <f t="shared" si="7"/>
        <v>1.1, 1.52</v>
      </c>
      <c r="H29" s="3">
        <f t="shared" si="3"/>
        <v>1.29</v>
      </c>
    </row>
    <row r="30" spans="1:8" x14ac:dyDescent="0.2">
      <c r="A30" s="9" t="s">
        <v>40</v>
      </c>
      <c r="B30" s="10">
        <v>1.38707</v>
      </c>
      <c r="C30" s="10">
        <v>1.186337</v>
      </c>
      <c r="D30" s="10">
        <v>1.621767</v>
      </c>
      <c r="E30" s="14">
        <f t="shared" si="0"/>
        <v>1.19</v>
      </c>
      <c r="F30" s="14">
        <f t="shared" si="6"/>
        <v>1.62</v>
      </c>
      <c r="G30" s="10" t="str">
        <f t="shared" si="7"/>
        <v>1.19, 1.62</v>
      </c>
      <c r="H30" s="3">
        <f t="shared" si="3"/>
        <v>1.39</v>
      </c>
    </row>
    <row r="31" spans="1:8" x14ac:dyDescent="0.2">
      <c r="A31" s="9" t="s">
        <v>41</v>
      </c>
      <c r="B31" s="10">
        <v>0.98298969999999997</v>
      </c>
      <c r="C31" s="10">
        <v>0.83743619999999996</v>
      </c>
      <c r="D31" s="10">
        <v>1.153842</v>
      </c>
      <c r="E31" s="14">
        <f t="shared" si="0"/>
        <v>0.84</v>
      </c>
      <c r="F31" s="14">
        <f t="shared" si="6"/>
        <v>1.1499999999999999</v>
      </c>
      <c r="G31" s="10" t="str">
        <f t="shared" si="7"/>
        <v>0.84, 1.15</v>
      </c>
      <c r="H31" s="3">
        <f t="shared" si="3"/>
        <v>0.98</v>
      </c>
    </row>
    <row r="32" spans="1:8" x14ac:dyDescent="0.2">
      <c r="A32" s="9" t="s">
        <v>42</v>
      </c>
      <c r="B32" s="10">
        <v>0.83803369999999999</v>
      </c>
      <c r="C32" s="10">
        <v>0.66768139999999998</v>
      </c>
      <c r="D32" s="10">
        <v>1.05185</v>
      </c>
      <c r="E32" s="14">
        <f t="shared" si="0"/>
        <v>0.67</v>
      </c>
      <c r="F32" s="14">
        <f t="shared" si="6"/>
        <v>1.05</v>
      </c>
      <c r="G32" s="10" t="str">
        <f t="shared" si="7"/>
        <v>0.67, 1.05</v>
      </c>
      <c r="H32" s="3">
        <f t="shared" si="3"/>
        <v>0.84</v>
      </c>
    </row>
    <row r="33" spans="1:8" x14ac:dyDescent="0.2">
      <c r="A33" s="9" t="s">
        <v>15</v>
      </c>
      <c r="B33" s="10">
        <v>1.0367919999999999</v>
      </c>
      <c r="C33" s="10">
        <v>0.88333209999999995</v>
      </c>
      <c r="D33" s="10">
        <v>1.2169110000000001</v>
      </c>
      <c r="E33" s="14">
        <f t="shared" si="0"/>
        <v>0.88</v>
      </c>
      <c r="F33" s="14">
        <f t="shared" si="6"/>
        <v>1.22</v>
      </c>
      <c r="G33" s="10" t="str">
        <f t="shared" si="7"/>
        <v>0.88, 1.22</v>
      </c>
      <c r="H33" s="3">
        <f t="shared" si="3"/>
        <v>1.04</v>
      </c>
    </row>
    <row r="34" spans="1:8" x14ac:dyDescent="0.2">
      <c r="A34" s="11" t="s">
        <v>35</v>
      </c>
      <c r="B34" s="12">
        <v>9.5699000000000006E-2</v>
      </c>
      <c r="C34" s="12">
        <v>5.6245400000000001E-2</v>
      </c>
      <c r="D34" s="12">
        <v>0.16282779999999999</v>
      </c>
      <c r="E34" s="14">
        <f t="shared" si="0"/>
        <v>0.06</v>
      </c>
      <c r="F34" s="14">
        <f t="shared" si="6"/>
        <v>0.16</v>
      </c>
      <c r="G34" s="10" t="str">
        <f t="shared" si="7"/>
        <v>0.06, 0.16</v>
      </c>
      <c r="H34" s="3">
        <f t="shared" si="3"/>
        <v>0.1</v>
      </c>
    </row>
    <row r="35" spans="1:8" x14ac:dyDescent="0.2">
      <c r="E35" s="14">
        <f t="shared" si="0"/>
        <v>0</v>
      </c>
      <c r="H35" s="3">
        <f t="shared" si="3"/>
        <v>0</v>
      </c>
    </row>
    <row r="36" spans="1:8" x14ac:dyDescent="0.2">
      <c r="E36" s="14">
        <f t="shared" si="0"/>
        <v>0</v>
      </c>
      <c r="H36" s="3">
        <f t="shared" si="3"/>
        <v>0</v>
      </c>
    </row>
    <row r="37" spans="1:8" x14ac:dyDescent="0.2">
      <c r="A37" s="7" t="s">
        <v>28</v>
      </c>
      <c r="B37" s="8" t="s">
        <v>32</v>
      </c>
      <c r="C37" s="16" t="s">
        <v>33</v>
      </c>
      <c r="D37" s="16"/>
      <c r="E37" s="14" t="e">
        <f t="shared" si="0"/>
        <v>#VALUE!</v>
      </c>
      <c r="F37" s="16"/>
      <c r="G37" s="16"/>
      <c r="H37" s="3" t="e">
        <f>ROUND(B37, 2)</f>
        <v>#VALUE!</v>
      </c>
    </row>
    <row r="38" spans="1:8" x14ac:dyDescent="0.2">
      <c r="A38" s="9" t="s">
        <v>36</v>
      </c>
      <c r="B38" s="10">
        <v>0.21726280000000001</v>
      </c>
      <c r="C38" s="10">
        <v>8.66783E-2</v>
      </c>
      <c r="D38" s="10">
        <v>0.54457829999999996</v>
      </c>
      <c r="E38" s="14">
        <f t="shared" si="0"/>
        <v>0.09</v>
      </c>
      <c r="F38" s="14">
        <f>ROUND(D38, 2)</f>
        <v>0.54</v>
      </c>
      <c r="G38" s="10" t="str">
        <f t="shared" ref="G38:G46" si="8">_xlfn.CONCAT(E38, ", ", F38)</f>
        <v>0.09, 0.54</v>
      </c>
      <c r="H38" s="3">
        <f t="shared" si="3"/>
        <v>0.22</v>
      </c>
    </row>
    <row r="39" spans="1:8" x14ac:dyDescent="0.2">
      <c r="A39" s="9" t="s">
        <v>37</v>
      </c>
      <c r="B39" s="10">
        <v>1.4025049999999999</v>
      </c>
      <c r="C39" s="10">
        <v>0.89826669999999997</v>
      </c>
      <c r="D39" s="10">
        <v>2.1897950000000002</v>
      </c>
      <c r="E39" s="14">
        <f t="shared" si="0"/>
        <v>0.9</v>
      </c>
      <c r="F39" s="14">
        <f t="shared" ref="F39:F46" si="9">ROUND(D39, 2)</f>
        <v>2.19</v>
      </c>
      <c r="G39" s="10" t="str">
        <f t="shared" si="8"/>
        <v>0.9, 2.19</v>
      </c>
      <c r="H39" s="3">
        <f t="shared" si="3"/>
        <v>1.4</v>
      </c>
    </row>
    <row r="40" spans="1:8" x14ac:dyDescent="0.2">
      <c r="A40" s="9" t="s">
        <v>38</v>
      </c>
      <c r="B40" s="10">
        <v>1.468164</v>
      </c>
      <c r="C40" s="10">
        <v>1.229598</v>
      </c>
      <c r="D40" s="10">
        <v>1.7530159999999999</v>
      </c>
      <c r="E40" s="14">
        <f t="shared" si="0"/>
        <v>1.23</v>
      </c>
      <c r="F40" s="14">
        <f t="shared" si="9"/>
        <v>1.75</v>
      </c>
      <c r="G40" s="10" t="str">
        <f t="shared" si="8"/>
        <v>1.23, 1.75</v>
      </c>
      <c r="H40" s="3">
        <f t="shared" si="3"/>
        <v>1.47</v>
      </c>
    </row>
    <row r="41" spans="1:8" x14ac:dyDescent="0.2">
      <c r="A41" s="9" t="s">
        <v>39</v>
      </c>
      <c r="B41" s="10">
        <v>1.1060129999999999</v>
      </c>
      <c r="C41" s="10">
        <v>0.89726240000000002</v>
      </c>
      <c r="D41" s="10">
        <v>1.3633310000000001</v>
      </c>
      <c r="E41" s="14">
        <f t="shared" si="0"/>
        <v>0.9</v>
      </c>
      <c r="F41" s="14">
        <f t="shared" si="9"/>
        <v>1.36</v>
      </c>
      <c r="G41" s="10" t="str">
        <f t="shared" si="8"/>
        <v>0.9, 1.36</v>
      </c>
      <c r="H41" s="3">
        <f t="shared" si="3"/>
        <v>1.1100000000000001</v>
      </c>
    </row>
    <row r="42" spans="1:8" x14ac:dyDescent="0.2">
      <c r="A42" s="9" t="s">
        <v>40</v>
      </c>
      <c r="B42" s="10">
        <v>0.79539740000000003</v>
      </c>
      <c r="C42" s="10">
        <v>0.65773029999999999</v>
      </c>
      <c r="D42" s="10">
        <v>0.96187920000000005</v>
      </c>
      <c r="E42" s="14">
        <f t="shared" si="0"/>
        <v>0.66</v>
      </c>
      <c r="F42" s="14">
        <f t="shared" si="9"/>
        <v>0.96</v>
      </c>
      <c r="G42" s="10" t="str">
        <f t="shared" si="8"/>
        <v>0.66, 0.96</v>
      </c>
      <c r="H42" s="3">
        <f t="shared" si="3"/>
        <v>0.8</v>
      </c>
    </row>
    <row r="43" spans="1:8" x14ac:dyDescent="0.2">
      <c r="A43" s="9" t="s">
        <v>41</v>
      </c>
      <c r="B43" s="10">
        <v>1.1905250000000001</v>
      </c>
      <c r="C43" s="10">
        <v>0.98091950000000006</v>
      </c>
      <c r="D43" s="10">
        <v>1.4449190000000001</v>
      </c>
      <c r="E43" s="14">
        <f t="shared" si="0"/>
        <v>0.98</v>
      </c>
      <c r="F43" s="14">
        <f t="shared" si="9"/>
        <v>1.44</v>
      </c>
      <c r="G43" s="10" t="str">
        <f t="shared" si="8"/>
        <v>0.98, 1.44</v>
      </c>
      <c r="H43" s="3">
        <f t="shared" si="3"/>
        <v>1.19</v>
      </c>
    </row>
    <row r="44" spans="1:8" x14ac:dyDescent="0.2">
      <c r="A44" s="9" t="s">
        <v>42</v>
      </c>
      <c r="B44" s="10">
        <v>0.67729410000000001</v>
      </c>
      <c r="C44" s="10">
        <v>0.52823070000000005</v>
      </c>
      <c r="D44" s="10">
        <v>0.86842229999999998</v>
      </c>
      <c r="E44" s="14">
        <f t="shared" si="0"/>
        <v>0.53</v>
      </c>
      <c r="F44" s="14">
        <f t="shared" si="9"/>
        <v>0.87</v>
      </c>
      <c r="G44" s="10" t="str">
        <f t="shared" si="8"/>
        <v>0.53, 0.87</v>
      </c>
      <c r="H44" s="3">
        <f t="shared" si="3"/>
        <v>0.68</v>
      </c>
    </row>
    <row r="45" spans="1:8" x14ac:dyDescent="0.2">
      <c r="A45" s="9" t="s">
        <v>15</v>
      </c>
      <c r="B45" s="10">
        <v>0.99430810000000003</v>
      </c>
      <c r="C45" s="10">
        <v>0.81392339999999996</v>
      </c>
      <c r="D45" s="10">
        <v>1.2146699999999999</v>
      </c>
      <c r="E45" s="14">
        <f t="shared" si="0"/>
        <v>0.81</v>
      </c>
      <c r="F45" s="14">
        <f t="shared" si="9"/>
        <v>1.21</v>
      </c>
      <c r="G45" s="10" t="str">
        <f t="shared" si="8"/>
        <v>0.81, 1.21</v>
      </c>
      <c r="H45" s="3">
        <f t="shared" si="3"/>
        <v>0.99</v>
      </c>
    </row>
    <row r="46" spans="1:8" x14ac:dyDescent="0.2">
      <c r="A46" s="11" t="s">
        <v>35</v>
      </c>
      <c r="B46" s="12">
        <v>0.42478460000000001</v>
      </c>
      <c r="C46" s="12">
        <v>0.13993349999999999</v>
      </c>
      <c r="D46" s="12">
        <v>1.2894840000000001</v>
      </c>
      <c r="E46" s="14">
        <f t="shared" si="0"/>
        <v>0.14000000000000001</v>
      </c>
      <c r="F46" s="14">
        <f t="shared" si="9"/>
        <v>1.29</v>
      </c>
      <c r="G46" s="10" t="str">
        <f t="shared" si="8"/>
        <v>0.14, 1.29</v>
      </c>
      <c r="H46" s="3">
        <f t="shared" si="3"/>
        <v>0.42</v>
      </c>
    </row>
    <row r="47" spans="1:8" x14ac:dyDescent="0.2">
      <c r="E47" s="14">
        <f t="shared" si="0"/>
        <v>0</v>
      </c>
      <c r="H47" s="3">
        <f t="shared" si="3"/>
        <v>0</v>
      </c>
    </row>
    <row r="48" spans="1:8" x14ac:dyDescent="0.2">
      <c r="E48" s="14">
        <f t="shared" si="0"/>
        <v>0</v>
      </c>
      <c r="H48" s="3">
        <f t="shared" si="3"/>
        <v>0</v>
      </c>
    </row>
    <row r="49" spans="1:8" x14ac:dyDescent="0.2">
      <c r="A49" s="7" t="s">
        <v>29</v>
      </c>
      <c r="B49" s="8" t="s">
        <v>32</v>
      </c>
      <c r="C49" s="8" t="s">
        <v>33</v>
      </c>
      <c r="D49" s="8" t="s">
        <v>34</v>
      </c>
      <c r="E49" s="14" t="e">
        <f t="shared" si="0"/>
        <v>#VALUE!</v>
      </c>
      <c r="F49" s="8"/>
      <c r="G49" s="8"/>
      <c r="H49" s="3" t="e">
        <f t="shared" si="3"/>
        <v>#VALUE!</v>
      </c>
    </row>
    <row r="50" spans="1:8" x14ac:dyDescent="0.2">
      <c r="A50" s="9" t="s">
        <v>36</v>
      </c>
      <c r="B50" s="10">
        <v>0.57294</v>
      </c>
      <c r="C50" s="10">
        <v>6.7823599999999998E-2</v>
      </c>
      <c r="D50" s="10">
        <v>4.8399099999999997</v>
      </c>
      <c r="E50" s="14">
        <f t="shared" si="0"/>
        <v>7.0000000000000007E-2</v>
      </c>
      <c r="F50" s="14">
        <f>ROUND(D50, 2)</f>
        <v>4.84</v>
      </c>
      <c r="G50" s="10" t="str">
        <f t="shared" ref="G50:G58" si="10">_xlfn.CONCAT(E50, ", ", F50)</f>
        <v>0.07, 4.84</v>
      </c>
      <c r="H50" s="3">
        <f t="shared" si="3"/>
        <v>0.56999999999999995</v>
      </c>
    </row>
    <row r="51" spans="1:8" x14ac:dyDescent="0.2">
      <c r="A51" s="9" t="s">
        <v>37</v>
      </c>
      <c r="B51" s="10">
        <v>0.57092449999999995</v>
      </c>
      <c r="C51" s="10">
        <v>0.20300969999999999</v>
      </c>
      <c r="D51" s="10">
        <v>1.605612</v>
      </c>
      <c r="E51" s="14">
        <f t="shared" si="0"/>
        <v>0.2</v>
      </c>
      <c r="F51" s="14">
        <f t="shared" ref="F51:F58" si="11">ROUND(D51, 2)</f>
        <v>1.61</v>
      </c>
      <c r="G51" s="10" t="str">
        <f t="shared" si="10"/>
        <v>0.2, 1.61</v>
      </c>
      <c r="H51" s="3">
        <f t="shared" si="3"/>
        <v>0.56999999999999995</v>
      </c>
    </row>
    <row r="52" spans="1:8" x14ac:dyDescent="0.2">
      <c r="A52" s="9" t="s">
        <v>38</v>
      </c>
      <c r="B52" s="10">
        <v>0.98354140000000001</v>
      </c>
      <c r="C52" s="10">
        <v>0.70847689999999997</v>
      </c>
      <c r="D52" s="10">
        <v>1.365399</v>
      </c>
      <c r="E52" s="14">
        <f t="shared" si="0"/>
        <v>0.71</v>
      </c>
      <c r="F52" s="14">
        <f t="shared" si="11"/>
        <v>1.37</v>
      </c>
      <c r="G52" s="10" t="str">
        <f t="shared" si="10"/>
        <v>0.71, 1.37</v>
      </c>
      <c r="H52" s="3">
        <f t="shared" si="3"/>
        <v>0.98</v>
      </c>
    </row>
    <row r="53" spans="1:8" x14ac:dyDescent="0.2">
      <c r="A53" s="9" t="s">
        <v>39</v>
      </c>
      <c r="B53" s="10">
        <v>1.320457</v>
      </c>
      <c r="C53" s="10">
        <v>0.89852489999999996</v>
      </c>
      <c r="D53" s="10">
        <v>1.9405209999999999</v>
      </c>
      <c r="E53" s="14">
        <f t="shared" si="0"/>
        <v>0.9</v>
      </c>
      <c r="F53" s="14">
        <f t="shared" si="11"/>
        <v>1.94</v>
      </c>
      <c r="G53" s="10" t="str">
        <f t="shared" si="10"/>
        <v>0.9, 1.94</v>
      </c>
      <c r="H53" s="3">
        <f t="shared" si="3"/>
        <v>1.32</v>
      </c>
    </row>
    <row r="54" spans="1:8" x14ac:dyDescent="0.2">
      <c r="A54" s="9" t="s">
        <v>40</v>
      </c>
      <c r="B54" s="10">
        <v>0.8499506</v>
      </c>
      <c r="C54" s="10">
        <v>0.59974479999999997</v>
      </c>
      <c r="D54" s="10">
        <v>1.204539</v>
      </c>
      <c r="E54" s="14">
        <f t="shared" si="0"/>
        <v>0.6</v>
      </c>
      <c r="F54" s="14">
        <f t="shared" si="11"/>
        <v>1.2</v>
      </c>
      <c r="G54" s="10" t="str">
        <f t="shared" si="10"/>
        <v>0.6, 1.2</v>
      </c>
      <c r="H54" s="3">
        <f t="shared" si="3"/>
        <v>0.85</v>
      </c>
    </row>
    <row r="55" spans="1:8" x14ac:dyDescent="0.2">
      <c r="A55" s="9" t="s">
        <v>41</v>
      </c>
      <c r="B55" s="10">
        <v>1.069078</v>
      </c>
      <c r="C55" s="10">
        <v>0.72230369999999999</v>
      </c>
      <c r="D55" s="10">
        <v>1.5823370000000001</v>
      </c>
      <c r="E55" s="14">
        <f t="shared" si="0"/>
        <v>0.72</v>
      </c>
      <c r="F55" s="14">
        <f t="shared" si="11"/>
        <v>1.58</v>
      </c>
      <c r="G55" s="10" t="str">
        <f t="shared" si="10"/>
        <v>0.72, 1.58</v>
      </c>
      <c r="H55" s="3">
        <f t="shared" si="3"/>
        <v>1.07</v>
      </c>
    </row>
    <row r="56" spans="1:8" x14ac:dyDescent="0.2">
      <c r="A56" s="9" t="s">
        <v>42</v>
      </c>
      <c r="B56" s="10">
        <v>0.81954070000000001</v>
      </c>
      <c r="C56" s="10">
        <v>0.51804110000000003</v>
      </c>
      <c r="D56" s="10">
        <v>1.296513</v>
      </c>
      <c r="E56" s="14">
        <f t="shared" si="0"/>
        <v>0.52</v>
      </c>
      <c r="F56" s="14">
        <f t="shared" si="11"/>
        <v>1.3</v>
      </c>
      <c r="G56" s="10" t="str">
        <f t="shared" si="10"/>
        <v>0.52, 1.3</v>
      </c>
      <c r="H56" s="3">
        <f t="shared" si="3"/>
        <v>0.82</v>
      </c>
    </row>
    <row r="57" spans="1:8" x14ac:dyDescent="0.2">
      <c r="A57" s="9" t="s">
        <v>15</v>
      </c>
      <c r="B57" s="10">
        <v>1.28678</v>
      </c>
      <c r="C57" s="10">
        <v>0.94171150000000003</v>
      </c>
      <c r="D57" s="10">
        <v>1.758292</v>
      </c>
      <c r="E57" s="14">
        <f t="shared" si="0"/>
        <v>0.94</v>
      </c>
      <c r="F57" s="14">
        <f t="shared" si="11"/>
        <v>1.76</v>
      </c>
      <c r="G57" s="10" t="str">
        <f t="shared" si="10"/>
        <v>0.94, 1.76</v>
      </c>
      <c r="H57" s="3">
        <f t="shared" si="3"/>
        <v>1.29</v>
      </c>
    </row>
    <row r="58" spans="1:8" x14ac:dyDescent="0.2">
      <c r="A58" s="11" t="s">
        <v>35</v>
      </c>
      <c r="B58" s="12">
        <v>0.15207119999999999</v>
      </c>
      <c r="C58" s="12">
        <v>1.3391E-2</v>
      </c>
      <c r="D58" s="12">
        <v>1.7269600000000001</v>
      </c>
      <c r="E58" s="14">
        <f t="shared" si="0"/>
        <v>0.01</v>
      </c>
      <c r="F58" s="14">
        <f t="shared" si="11"/>
        <v>1.73</v>
      </c>
      <c r="G58" s="10" t="str">
        <f t="shared" si="10"/>
        <v>0.01, 1.73</v>
      </c>
      <c r="H58" s="3">
        <f t="shared" si="3"/>
        <v>0.15</v>
      </c>
    </row>
  </sheetData>
  <mergeCells count="8">
    <mergeCell ref="F1:G1"/>
    <mergeCell ref="F13:G13"/>
    <mergeCell ref="F25:G25"/>
    <mergeCell ref="F37:G37"/>
    <mergeCell ref="C1:D1"/>
    <mergeCell ref="C13:D13"/>
    <mergeCell ref="C25:D25"/>
    <mergeCell ref="C37:D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30D3-FC26-8942-92A9-E7E1FCCBDAAB}">
  <dimension ref="A1:M58"/>
  <sheetViews>
    <sheetView workbookViewId="0">
      <selection activeCell="K22" sqref="K22:M39"/>
    </sheetView>
  </sheetViews>
  <sheetFormatPr baseColWidth="10" defaultRowHeight="16" x14ac:dyDescent="0.2"/>
  <cols>
    <col min="1" max="1" width="27.33203125" bestFit="1" customWidth="1"/>
    <col min="7" max="7" width="27.33203125" bestFit="1" customWidth="1"/>
    <col min="11" max="11" width="20.6640625" bestFit="1" customWidth="1"/>
  </cols>
  <sheetData>
    <row r="1" spans="1:13" x14ac:dyDescent="0.2">
      <c r="A1" s="7" t="s">
        <v>26</v>
      </c>
      <c r="B1" s="8" t="s">
        <v>32</v>
      </c>
      <c r="C1" t="s">
        <v>86</v>
      </c>
      <c r="G1" s="10" t="s">
        <v>26</v>
      </c>
      <c r="H1" s="10" t="s">
        <v>32</v>
      </c>
      <c r="I1" t="s">
        <v>86</v>
      </c>
    </row>
    <row r="2" spans="1:13" x14ac:dyDescent="0.2">
      <c r="A2" s="9" t="s">
        <v>36</v>
      </c>
      <c r="B2" s="10">
        <v>1.3</v>
      </c>
      <c r="C2" s="10" t="s">
        <v>43</v>
      </c>
      <c r="G2" s="10" t="s">
        <v>88</v>
      </c>
      <c r="H2" s="10">
        <v>1.3</v>
      </c>
      <c r="I2" s="10" t="s">
        <v>43</v>
      </c>
    </row>
    <row r="3" spans="1:13" x14ac:dyDescent="0.2">
      <c r="A3" s="9" t="s">
        <v>37</v>
      </c>
      <c r="B3" s="10">
        <v>1.1599999999999999</v>
      </c>
      <c r="C3" s="10" t="s">
        <v>44</v>
      </c>
      <c r="G3" s="10" t="s">
        <v>89</v>
      </c>
      <c r="H3" s="10">
        <v>1.1599999999999999</v>
      </c>
      <c r="I3" s="10" t="s">
        <v>44</v>
      </c>
      <c r="K3" s="10" t="s">
        <v>28</v>
      </c>
      <c r="L3" s="10" t="s">
        <v>32</v>
      </c>
      <c r="M3" t="s">
        <v>86</v>
      </c>
    </row>
    <row r="4" spans="1:13" x14ac:dyDescent="0.2">
      <c r="A4" s="9" t="s">
        <v>38</v>
      </c>
      <c r="B4" s="10">
        <v>0.95</v>
      </c>
      <c r="C4" s="10" t="s">
        <v>45</v>
      </c>
      <c r="G4" s="10" t="s">
        <v>90</v>
      </c>
      <c r="H4" s="10">
        <v>0.95</v>
      </c>
      <c r="I4" s="10" t="s">
        <v>45</v>
      </c>
      <c r="K4" s="10" t="s">
        <v>88</v>
      </c>
      <c r="L4" s="10">
        <v>0.22</v>
      </c>
      <c r="M4" s="10" t="s">
        <v>68</v>
      </c>
    </row>
    <row r="5" spans="1:13" x14ac:dyDescent="0.2">
      <c r="A5" s="9" t="s">
        <v>39</v>
      </c>
      <c r="B5" s="10">
        <v>1.08</v>
      </c>
      <c r="C5" s="10" t="s">
        <v>46</v>
      </c>
      <c r="G5" s="10" t="s">
        <v>91</v>
      </c>
      <c r="H5" s="10">
        <v>1.08</v>
      </c>
      <c r="I5" s="10" t="s">
        <v>46</v>
      </c>
      <c r="K5" s="10" t="s">
        <v>89</v>
      </c>
      <c r="L5" s="10">
        <v>1.4</v>
      </c>
      <c r="M5" s="10" t="s">
        <v>69</v>
      </c>
    </row>
    <row r="6" spans="1:13" x14ac:dyDescent="0.2">
      <c r="A6" s="9" t="s">
        <v>40</v>
      </c>
      <c r="B6" s="10">
        <v>1.1499999999999999</v>
      </c>
      <c r="C6" s="10" t="s">
        <v>47</v>
      </c>
      <c r="G6" s="10" t="s">
        <v>92</v>
      </c>
      <c r="K6" s="10" t="s">
        <v>90</v>
      </c>
      <c r="L6" s="10">
        <v>1.47</v>
      </c>
      <c r="M6" s="10" t="s">
        <v>70</v>
      </c>
    </row>
    <row r="7" spans="1:13" x14ac:dyDescent="0.2">
      <c r="A7" s="9" t="s">
        <v>41</v>
      </c>
      <c r="B7" s="10">
        <v>1.1299999999999999</v>
      </c>
      <c r="C7" s="10" t="s">
        <v>48</v>
      </c>
      <c r="G7" s="10" t="s">
        <v>95</v>
      </c>
      <c r="K7" s="10" t="s">
        <v>91</v>
      </c>
      <c r="L7" s="10">
        <v>1.1100000000000001</v>
      </c>
      <c r="M7" s="10" t="s">
        <v>71</v>
      </c>
    </row>
    <row r="8" spans="1:13" x14ac:dyDescent="0.2">
      <c r="A8" s="9" t="s">
        <v>42</v>
      </c>
      <c r="B8" s="10">
        <v>1.02</v>
      </c>
      <c r="C8" s="10" t="s">
        <v>49</v>
      </c>
      <c r="G8" s="10" t="s">
        <v>93</v>
      </c>
      <c r="H8" s="10">
        <v>1.1499999999999999</v>
      </c>
      <c r="I8" s="10" t="s">
        <v>47</v>
      </c>
      <c r="K8" s="10" t="s">
        <v>92</v>
      </c>
    </row>
    <row r="9" spans="1:13" x14ac:dyDescent="0.2">
      <c r="A9" s="9" t="s">
        <v>15</v>
      </c>
      <c r="B9" s="10">
        <v>0.41</v>
      </c>
      <c r="C9" s="10" t="s">
        <v>50</v>
      </c>
      <c r="G9" s="10" t="s">
        <v>41</v>
      </c>
      <c r="K9" s="10" t="s">
        <v>95</v>
      </c>
    </row>
    <row r="10" spans="1:13" x14ac:dyDescent="0.2">
      <c r="A10" s="11" t="s">
        <v>35</v>
      </c>
      <c r="B10" s="12">
        <v>2.13</v>
      </c>
      <c r="C10" s="10" t="s">
        <v>51</v>
      </c>
      <c r="G10" s="10" t="s">
        <v>96</v>
      </c>
      <c r="K10" s="10" t="s">
        <v>93</v>
      </c>
      <c r="L10" s="10">
        <v>0.8</v>
      </c>
      <c r="M10" s="10" t="s">
        <v>72</v>
      </c>
    </row>
    <row r="11" spans="1:13" x14ac:dyDescent="0.2">
      <c r="G11" s="10" t="s">
        <v>31</v>
      </c>
      <c r="H11" s="10">
        <v>1.1299999999999999</v>
      </c>
      <c r="I11" s="10" t="s">
        <v>48</v>
      </c>
      <c r="K11" s="10" t="s">
        <v>41</v>
      </c>
    </row>
    <row r="12" spans="1:13" x14ac:dyDescent="0.2">
      <c r="G12" s="10" t="s">
        <v>94</v>
      </c>
      <c r="K12" s="10" t="s">
        <v>96</v>
      </c>
    </row>
    <row r="13" spans="1:13" x14ac:dyDescent="0.2">
      <c r="A13" s="7" t="s">
        <v>0</v>
      </c>
      <c r="B13" s="8" t="s">
        <v>32</v>
      </c>
      <c r="C13" t="s">
        <v>86</v>
      </c>
      <c r="G13" s="10" t="s">
        <v>97</v>
      </c>
      <c r="K13" s="10" t="s">
        <v>31</v>
      </c>
      <c r="L13" s="10">
        <v>1.19</v>
      </c>
      <c r="M13" s="10" t="s">
        <v>73</v>
      </c>
    </row>
    <row r="14" spans="1:13" x14ac:dyDescent="0.2">
      <c r="A14" s="9" t="s">
        <v>36</v>
      </c>
      <c r="B14" s="10">
        <v>3.87</v>
      </c>
      <c r="C14" s="10" t="s">
        <v>52</v>
      </c>
      <c r="G14" s="10" t="s">
        <v>18</v>
      </c>
      <c r="H14" s="10">
        <v>1.02</v>
      </c>
      <c r="I14" s="10" t="s">
        <v>49</v>
      </c>
      <c r="K14" s="10" t="s">
        <v>94</v>
      </c>
    </row>
    <row r="15" spans="1:13" x14ac:dyDescent="0.2">
      <c r="A15" s="9" t="s">
        <v>37</v>
      </c>
      <c r="B15" s="10">
        <v>0.83</v>
      </c>
      <c r="C15" s="10" t="s">
        <v>53</v>
      </c>
      <c r="G15" s="10" t="s">
        <v>15</v>
      </c>
      <c r="K15" s="10" t="s">
        <v>97</v>
      </c>
    </row>
    <row r="16" spans="1:13" x14ac:dyDescent="0.2">
      <c r="A16" s="9" t="s">
        <v>38</v>
      </c>
      <c r="B16" s="10">
        <v>0.98</v>
      </c>
      <c r="C16" s="10" t="s">
        <v>54</v>
      </c>
      <c r="G16" s="10" t="s">
        <v>96</v>
      </c>
      <c r="K16" s="10" t="s">
        <v>18</v>
      </c>
      <c r="L16" s="10">
        <v>0.68</v>
      </c>
      <c r="M16" s="10" t="s">
        <v>74</v>
      </c>
    </row>
    <row r="17" spans="1:13" x14ac:dyDescent="0.2">
      <c r="A17" s="9" t="s">
        <v>39</v>
      </c>
      <c r="B17" s="10">
        <v>0.95</v>
      </c>
      <c r="C17" s="10" t="s">
        <v>55</v>
      </c>
      <c r="G17" s="10" t="s">
        <v>31</v>
      </c>
      <c r="H17" s="10">
        <v>0.41</v>
      </c>
      <c r="I17" s="10" t="s">
        <v>50</v>
      </c>
      <c r="K17" s="10" t="s">
        <v>15</v>
      </c>
    </row>
    <row r="18" spans="1:13" x14ac:dyDescent="0.2">
      <c r="A18" s="9" t="s">
        <v>40</v>
      </c>
      <c r="B18" s="10">
        <v>1.0900000000000001</v>
      </c>
      <c r="C18" s="10" t="s">
        <v>56</v>
      </c>
      <c r="G18" s="10" t="s">
        <v>35</v>
      </c>
      <c r="H18" s="10">
        <v>2.13</v>
      </c>
      <c r="I18" s="10" t="s">
        <v>51</v>
      </c>
      <c r="K18" s="10" t="s">
        <v>96</v>
      </c>
    </row>
    <row r="19" spans="1:13" x14ac:dyDescent="0.2">
      <c r="A19" s="9" t="s">
        <v>41</v>
      </c>
      <c r="B19" s="10">
        <v>0.95</v>
      </c>
      <c r="C19" s="10" t="s">
        <v>55</v>
      </c>
      <c r="K19" s="10" t="s">
        <v>31</v>
      </c>
      <c r="L19" s="10">
        <v>0.99</v>
      </c>
      <c r="M19" s="10" t="s">
        <v>75</v>
      </c>
    </row>
    <row r="20" spans="1:13" x14ac:dyDescent="0.2">
      <c r="A20" s="9" t="s">
        <v>42</v>
      </c>
      <c r="B20" s="10">
        <v>0.86</v>
      </c>
      <c r="C20" s="10" t="s">
        <v>57</v>
      </c>
      <c r="G20" s="10" t="s">
        <v>0</v>
      </c>
      <c r="H20" s="10" t="s">
        <v>32</v>
      </c>
      <c r="I20" t="s">
        <v>86</v>
      </c>
      <c r="K20" s="10" t="s">
        <v>35</v>
      </c>
      <c r="L20" s="10">
        <v>0.42</v>
      </c>
      <c r="M20" s="10" t="s">
        <v>76</v>
      </c>
    </row>
    <row r="21" spans="1:13" x14ac:dyDescent="0.2">
      <c r="A21" s="9" t="s">
        <v>15</v>
      </c>
      <c r="B21" s="10">
        <v>0.97</v>
      </c>
      <c r="C21" s="10" t="s">
        <v>58</v>
      </c>
      <c r="G21" s="10" t="s">
        <v>88</v>
      </c>
      <c r="H21" s="10">
        <v>3.87</v>
      </c>
      <c r="I21" s="10" t="s">
        <v>52</v>
      </c>
    </row>
    <row r="22" spans="1:13" x14ac:dyDescent="0.2">
      <c r="A22" s="11" t="s">
        <v>35</v>
      </c>
      <c r="B22" s="12">
        <v>0.1</v>
      </c>
      <c r="C22" s="10" t="s">
        <v>59</v>
      </c>
      <c r="G22" s="10" t="s">
        <v>89</v>
      </c>
      <c r="H22" s="10">
        <v>0.83</v>
      </c>
      <c r="I22" s="10" t="s">
        <v>53</v>
      </c>
      <c r="K22" s="10" t="s">
        <v>29</v>
      </c>
      <c r="L22" s="10" t="s">
        <v>32</v>
      </c>
      <c r="M22" t="s">
        <v>86</v>
      </c>
    </row>
    <row r="23" spans="1:13" x14ac:dyDescent="0.2">
      <c r="G23" s="10" t="s">
        <v>90</v>
      </c>
      <c r="H23" s="10">
        <v>0.98</v>
      </c>
      <c r="I23" s="10" t="s">
        <v>54</v>
      </c>
      <c r="K23" s="10" t="s">
        <v>88</v>
      </c>
      <c r="L23" s="10">
        <v>0.56999999999999995</v>
      </c>
      <c r="M23" s="10" t="s">
        <v>77</v>
      </c>
    </row>
    <row r="24" spans="1:13" x14ac:dyDescent="0.2">
      <c r="G24" s="10" t="s">
        <v>91</v>
      </c>
      <c r="H24" s="10">
        <v>0.95</v>
      </c>
      <c r="I24" s="10" t="s">
        <v>55</v>
      </c>
      <c r="K24" s="10" t="s">
        <v>89</v>
      </c>
      <c r="L24" s="10">
        <v>0.56999999999999995</v>
      </c>
      <c r="M24" s="10" t="s">
        <v>78</v>
      </c>
    </row>
    <row r="25" spans="1:13" x14ac:dyDescent="0.2">
      <c r="A25" s="7" t="s">
        <v>27</v>
      </c>
      <c r="B25" s="8" t="s">
        <v>32</v>
      </c>
      <c r="C25" t="s">
        <v>86</v>
      </c>
      <c r="G25" s="10" t="s">
        <v>92</v>
      </c>
      <c r="K25" s="10" t="s">
        <v>90</v>
      </c>
      <c r="L25" s="10">
        <v>0.98</v>
      </c>
      <c r="M25" s="10" t="s">
        <v>79</v>
      </c>
    </row>
    <row r="26" spans="1:13" x14ac:dyDescent="0.2">
      <c r="A26" s="9" t="s">
        <v>36</v>
      </c>
      <c r="B26" s="10">
        <v>1</v>
      </c>
      <c r="C26" s="10"/>
      <c r="G26" s="10" t="s">
        <v>95</v>
      </c>
      <c r="K26" s="10" t="s">
        <v>91</v>
      </c>
      <c r="L26" s="10">
        <v>1.32</v>
      </c>
      <c r="M26" s="10" t="s">
        <v>80</v>
      </c>
    </row>
    <row r="27" spans="1:13" x14ac:dyDescent="0.2">
      <c r="A27" s="9" t="s">
        <v>37</v>
      </c>
      <c r="B27" s="10">
        <v>1.01</v>
      </c>
      <c r="C27" t="s">
        <v>60</v>
      </c>
      <c r="G27" s="10" t="s">
        <v>93</v>
      </c>
      <c r="H27" s="10">
        <v>1.0900000000000001</v>
      </c>
      <c r="I27" s="10" t="s">
        <v>56</v>
      </c>
      <c r="K27" s="10" t="s">
        <v>92</v>
      </c>
    </row>
    <row r="28" spans="1:13" x14ac:dyDescent="0.2">
      <c r="A28" s="9" t="s">
        <v>38</v>
      </c>
      <c r="B28" s="10">
        <v>1.32</v>
      </c>
      <c r="C28" t="s">
        <v>61</v>
      </c>
      <c r="G28" s="10" t="s">
        <v>41</v>
      </c>
      <c r="K28" s="10" t="s">
        <v>95</v>
      </c>
    </row>
    <row r="29" spans="1:13" x14ac:dyDescent="0.2">
      <c r="A29" s="9" t="s">
        <v>39</v>
      </c>
      <c r="B29" s="10">
        <v>1.29</v>
      </c>
      <c r="C29" t="s">
        <v>62</v>
      </c>
      <c r="G29" s="10" t="s">
        <v>96</v>
      </c>
      <c r="K29" s="10" t="s">
        <v>93</v>
      </c>
      <c r="L29" s="10">
        <v>0.85</v>
      </c>
      <c r="M29" s="10" t="s">
        <v>81</v>
      </c>
    </row>
    <row r="30" spans="1:13" x14ac:dyDescent="0.2">
      <c r="A30" s="9" t="s">
        <v>40</v>
      </c>
      <c r="B30" s="10">
        <v>1.39</v>
      </c>
      <c r="C30" t="s">
        <v>63</v>
      </c>
      <c r="G30" s="10" t="s">
        <v>31</v>
      </c>
      <c r="H30" s="10">
        <v>0.95</v>
      </c>
      <c r="I30" s="10" t="s">
        <v>55</v>
      </c>
      <c r="K30" s="10" t="s">
        <v>41</v>
      </c>
    </row>
    <row r="31" spans="1:13" x14ac:dyDescent="0.2">
      <c r="A31" s="9" t="s">
        <v>41</v>
      </c>
      <c r="B31" s="10">
        <v>0.98</v>
      </c>
      <c r="C31" t="s">
        <v>64</v>
      </c>
      <c r="G31" s="10" t="s">
        <v>94</v>
      </c>
      <c r="K31" s="10" t="s">
        <v>96</v>
      </c>
    </row>
    <row r="32" spans="1:13" x14ac:dyDescent="0.2">
      <c r="A32" s="9" t="s">
        <v>42</v>
      </c>
      <c r="B32" s="10">
        <v>0.84</v>
      </c>
      <c r="C32" t="s">
        <v>65</v>
      </c>
      <c r="G32" s="10" t="s">
        <v>97</v>
      </c>
      <c r="K32" s="10" t="s">
        <v>31</v>
      </c>
      <c r="L32" s="10">
        <v>1.07</v>
      </c>
      <c r="M32" s="10" t="s">
        <v>82</v>
      </c>
    </row>
    <row r="33" spans="1:13" x14ac:dyDescent="0.2">
      <c r="A33" s="9" t="s">
        <v>15</v>
      </c>
      <c r="B33" s="10">
        <v>1.04</v>
      </c>
      <c r="C33" t="s">
        <v>66</v>
      </c>
      <c r="G33" s="10" t="s">
        <v>18</v>
      </c>
      <c r="H33" s="10">
        <v>0.86</v>
      </c>
      <c r="I33" s="10" t="s">
        <v>57</v>
      </c>
      <c r="K33" s="10" t="s">
        <v>94</v>
      </c>
    </row>
    <row r="34" spans="1:13" x14ac:dyDescent="0.2">
      <c r="A34" s="11" t="s">
        <v>35</v>
      </c>
      <c r="B34" s="12">
        <v>0.1</v>
      </c>
      <c r="C34" t="s">
        <v>67</v>
      </c>
      <c r="G34" s="10" t="s">
        <v>15</v>
      </c>
      <c r="K34" s="10" t="s">
        <v>97</v>
      </c>
    </row>
    <row r="35" spans="1:13" x14ac:dyDescent="0.2">
      <c r="G35" s="10" t="s">
        <v>96</v>
      </c>
      <c r="K35" s="10" t="s">
        <v>18</v>
      </c>
      <c r="L35" s="10">
        <v>0.82</v>
      </c>
      <c r="M35" s="10" t="s">
        <v>83</v>
      </c>
    </row>
    <row r="36" spans="1:13" x14ac:dyDescent="0.2">
      <c r="G36" s="10" t="s">
        <v>31</v>
      </c>
      <c r="H36" s="10">
        <v>0.97</v>
      </c>
      <c r="I36" s="10" t="s">
        <v>58</v>
      </c>
      <c r="K36" s="10" t="s">
        <v>15</v>
      </c>
    </row>
    <row r="37" spans="1:13" x14ac:dyDescent="0.2">
      <c r="A37" s="7" t="s">
        <v>28</v>
      </c>
      <c r="B37" s="8" t="s">
        <v>32</v>
      </c>
      <c r="C37" t="s">
        <v>86</v>
      </c>
      <c r="G37" s="10" t="s">
        <v>35</v>
      </c>
      <c r="H37" s="10">
        <v>0.1</v>
      </c>
      <c r="I37" s="10" t="s">
        <v>59</v>
      </c>
      <c r="K37" s="10" t="s">
        <v>96</v>
      </c>
    </row>
    <row r="38" spans="1:13" x14ac:dyDescent="0.2">
      <c r="A38" s="9" t="s">
        <v>36</v>
      </c>
      <c r="B38" s="10">
        <v>0.22</v>
      </c>
      <c r="C38" s="10" t="s">
        <v>68</v>
      </c>
      <c r="K38" s="10" t="s">
        <v>31</v>
      </c>
      <c r="L38" s="10">
        <v>1.29</v>
      </c>
      <c r="M38" s="10" t="s">
        <v>84</v>
      </c>
    </row>
    <row r="39" spans="1:13" x14ac:dyDescent="0.2">
      <c r="A39" s="9" t="s">
        <v>37</v>
      </c>
      <c r="B39" s="10">
        <v>1.4</v>
      </c>
      <c r="C39" s="10" t="s">
        <v>69</v>
      </c>
      <c r="G39" s="10" t="s">
        <v>27</v>
      </c>
      <c r="H39" s="10" t="s">
        <v>32</v>
      </c>
      <c r="I39" t="s">
        <v>86</v>
      </c>
      <c r="K39" s="10" t="s">
        <v>35</v>
      </c>
      <c r="L39" s="10">
        <v>0.15</v>
      </c>
      <c r="M39" s="10" t="s">
        <v>85</v>
      </c>
    </row>
    <row r="40" spans="1:13" x14ac:dyDescent="0.2">
      <c r="A40" s="9" t="s">
        <v>38</v>
      </c>
      <c r="B40" s="10">
        <v>1.47</v>
      </c>
      <c r="C40" s="10" t="s">
        <v>70</v>
      </c>
      <c r="G40" s="10" t="s">
        <v>88</v>
      </c>
      <c r="H40" s="10">
        <v>1</v>
      </c>
      <c r="I40" s="10"/>
    </row>
    <row r="41" spans="1:13" x14ac:dyDescent="0.2">
      <c r="A41" s="9" t="s">
        <v>39</v>
      </c>
      <c r="B41" s="10">
        <v>1.1100000000000001</v>
      </c>
      <c r="C41" s="10" t="s">
        <v>71</v>
      </c>
      <c r="G41" s="10" t="s">
        <v>89</v>
      </c>
      <c r="H41" s="10">
        <v>1.01</v>
      </c>
      <c r="I41" t="s">
        <v>60</v>
      </c>
    </row>
    <row r="42" spans="1:13" x14ac:dyDescent="0.2">
      <c r="A42" s="9" t="s">
        <v>40</v>
      </c>
      <c r="B42" s="10">
        <v>0.8</v>
      </c>
      <c r="C42" s="10" t="s">
        <v>72</v>
      </c>
      <c r="G42" s="10" t="s">
        <v>90</v>
      </c>
      <c r="H42" s="10">
        <v>1.32</v>
      </c>
      <c r="I42" t="s">
        <v>61</v>
      </c>
    </row>
    <row r="43" spans="1:13" x14ac:dyDescent="0.2">
      <c r="A43" s="9" t="s">
        <v>41</v>
      </c>
      <c r="B43" s="10">
        <v>1.19</v>
      </c>
      <c r="C43" s="10" t="s">
        <v>73</v>
      </c>
      <c r="G43" s="10" t="s">
        <v>91</v>
      </c>
      <c r="H43" s="10">
        <v>1.29</v>
      </c>
      <c r="I43" t="s">
        <v>62</v>
      </c>
    </row>
    <row r="44" spans="1:13" x14ac:dyDescent="0.2">
      <c r="A44" s="9" t="s">
        <v>42</v>
      </c>
      <c r="B44" s="10">
        <v>0.68</v>
      </c>
      <c r="C44" s="10" t="s">
        <v>74</v>
      </c>
      <c r="G44" s="10" t="s">
        <v>92</v>
      </c>
    </row>
    <row r="45" spans="1:13" x14ac:dyDescent="0.2">
      <c r="A45" s="9" t="s">
        <v>15</v>
      </c>
      <c r="B45" s="10">
        <v>0.99</v>
      </c>
      <c r="C45" s="10" t="s">
        <v>75</v>
      </c>
      <c r="G45" s="10" t="s">
        <v>95</v>
      </c>
    </row>
    <row r="46" spans="1:13" x14ac:dyDescent="0.2">
      <c r="A46" s="11" t="s">
        <v>35</v>
      </c>
      <c r="B46" s="12">
        <v>0.42</v>
      </c>
      <c r="C46" s="10" t="s">
        <v>76</v>
      </c>
      <c r="G46" s="10" t="s">
        <v>93</v>
      </c>
      <c r="H46" s="10">
        <v>1.39</v>
      </c>
      <c r="I46" t="s">
        <v>63</v>
      </c>
    </row>
    <row r="47" spans="1:13" x14ac:dyDescent="0.2">
      <c r="G47" s="10" t="s">
        <v>41</v>
      </c>
    </row>
    <row r="48" spans="1:13" x14ac:dyDescent="0.2">
      <c r="G48" s="10" t="s">
        <v>96</v>
      </c>
    </row>
    <row r="49" spans="1:9" x14ac:dyDescent="0.2">
      <c r="A49" s="7" t="s">
        <v>29</v>
      </c>
      <c r="B49" s="8" t="s">
        <v>32</v>
      </c>
      <c r="C49" t="s">
        <v>86</v>
      </c>
      <c r="G49" s="10" t="s">
        <v>31</v>
      </c>
      <c r="H49" s="10">
        <v>0.98</v>
      </c>
      <c r="I49" t="s">
        <v>64</v>
      </c>
    </row>
    <row r="50" spans="1:9" x14ac:dyDescent="0.2">
      <c r="A50" s="9" t="s">
        <v>36</v>
      </c>
      <c r="B50" s="10">
        <v>0.56999999999999995</v>
      </c>
      <c r="C50" s="10" t="s">
        <v>77</v>
      </c>
      <c r="G50" s="10" t="s">
        <v>94</v>
      </c>
    </row>
    <row r="51" spans="1:9" x14ac:dyDescent="0.2">
      <c r="A51" s="9" t="s">
        <v>37</v>
      </c>
      <c r="B51" s="10">
        <v>0.56999999999999995</v>
      </c>
      <c r="C51" s="10" t="s">
        <v>78</v>
      </c>
      <c r="G51" s="10" t="s">
        <v>97</v>
      </c>
    </row>
    <row r="52" spans="1:9" x14ac:dyDescent="0.2">
      <c r="A52" s="9" t="s">
        <v>38</v>
      </c>
      <c r="B52" s="10">
        <v>0.98</v>
      </c>
      <c r="C52" s="10" t="s">
        <v>79</v>
      </c>
      <c r="G52" s="10" t="s">
        <v>18</v>
      </c>
      <c r="H52" s="10">
        <v>0.84</v>
      </c>
      <c r="I52" t="s">
        <v>65</v>
      </c>
    </row>
    <row r="53" spans="1:9" x14ac:dyDescent="0.2">
      <c r="A53" s="9" t="s">
        <v>39</v>
      </c>
      <c r="B53" s="10">
        <v>1.32</v>
      </c>
      <c r="C53" s="10" t="s">
        <v>80</v>
      </c>
      <c r="G53" s="10" t="s">
        <v>15</v>
      </c>
    </row>
    <row r="54" spans="1:9" x14ac:dyDescent="0.2">
      <c r="A54" s="9" t="s">
        <v>40</v>
      </c>
      <c r="B54" s="10">
        <v>0.85</v>
      </c>
      <c r="C54" s="10" t="s">
        <v>81</v>
      </c>
      <c r="G54" s="10" t="s">
        <v>96</v>
      </c>
    </row>
    <row r="55" spans="1:9" x14ac:dyDescent="0.2">
      <c r="A55" s="9" t="s">
        <v>41</v>
      </c>
      <c r="B55" s="10">
        <v>1.07</v>
      </c>
      <c r="C55" s="10" t="s">
        <v>82</v>
      </c>
      <c r="G55" s="10" t="s">
        <v>31</v>
      </c>
      <c r="H55" s="10">
        <v>1.04</v>
      </c>
      <c r="I55" t="s">
        <v>66</v>
      </c>
    </row>
    <row r="56" spans="1:9" x14ac:dyDescent="0.2">
      <c r="A56" s="9" t="s">
        <v>42</v>
      </c>
      <c r="B56" s="10">
        <v>0.82</v>
      </c>
      <c r="C56" s="10" t="s">
        <v>83</v>
      </c>
      <c r="G56" s="10" t="s">
        <v>35</v>
      </c>
      <c r="H56" s="10">
        <v>0.1</v>
      </c>
      <c r="I56" s="10" t="s">
        <v>59</v>
      </c>
    </row>
    <row r="57" spans="1:9" x14ac:dyDescent="0.2">
      <c r="A57" s="9" t="s">
        <v>15</v>
      </c>
      <c r="B57" s="10">
        <v>1.29</v>
      </c>
      <c r="C57" s="10" t="s">
        <v>84</v>
      </c>
    </row>
    <row r="58" spans="1:9" x14ac:dyDescent="0.2">
      <c r="A58" s="11" t="s">
        <v>35</v>
      </c>
      <c r="B58" s="12">
        <v>0.15</v>
      </c>
      <c r="C58" s="1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Tabulation</vt:lpstr>
      <vt:lpstr>Regression</vt:lpstr>
      <vt:lpstr>Regression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2022-12-07T19:52:48Z</dcterms:created>
  <dcterms:modified xsi:type="dcterms:W3CDTF">2023-04-28T07:09:23Z</dcterms:modified>
</cp:coreProperties>
</file>